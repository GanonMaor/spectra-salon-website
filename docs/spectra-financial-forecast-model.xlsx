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Assumptions" sheetId="2" state="visible" r:id="rId2"/>
    <sheet name="Forecast" sheetId="3" state="visible" r:id="rId3"/>
  </sheets>
  <definedNames>
    <definedName name="_xlnm._FilterDatabase" localSheetId="1" hidden="1">'Assumptions'!$A$60:$F$76</definedName>
    <definedName name="_xlnm._FilterDatabase" localSheetId="2" hidden="1">'Forecast'!$A$3:$AM$3</definedName>
  </definedNames>
  <calcPr calcId="171027" fullCalcOnLoad="1" forceFullCalc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$#,##0;[Red]($#,##0);-"/>
    <numFmt numFmtId="166" formatCode="0.0%"/>
  </numFmts>
  <fonts count="11">
    <font>
      <name val="Calibri"/>
      <family val="2"/>
      <color theme="1"/>
      <sz val="11"/>
      <scheme val="minor"/>
    </font>
    <font>
      <name val="Aptos"/>
      <b val="1"/>
      <color rgb="FFFFFFFF"/>
      <sz val="21"/>
    </font>
    <font>
      <name val="Aptos"/>
      <i val="1"/>
      <color rgb="FF75695D"/>
      <sz val="13"/>
    </font>
    <font>
      <name val="Aptos"/>
      <b val="1"/>
      <color rgb="FFFFFFFF"/>
      <sz val="11"/>
    </font>
    <font>
      <name val="Aptos"/>
      <color rgb="FF211C18"/>
      <sz val="13"/>
    </font>
    <font>
      <name val="Aptos"/>
      <color rgb="FF211C18"/>
      <sz val="11"/>
    </font>
    <font>
      <name val="Aptos"/>
      <b val="1"/>
      <color rgb="FF211C18"/>
      <sz val="11"/>
    </font>
    <font>
      <name val="Aptos"/>
      <color rgb="FF211C18"/>
      <sz val="14"/>
    </font>
    <font>
      <name val="Aptos"/>
      <color rgb="FF211C18"/>
      <sz val="12"/>
    </font>
    <font>
      <name val="Aptos"/>
      <b val="1"/>
      <color rgb="FF211C18"/>
      <sz val="13"/>
    </font>
    <font>
      <name val="Aptos"/>
      <b val="1"/>
      <color rgb="FF211C18"/>
      <sz val="12"/>
    </font>
  </fonts>
  <fills count="14">
    <fill>
      <patternFill/>
    </fill>
    <fill>
      <patternFill patternType="gray125"/>
    </fill>
    <fill>
      <patternFill patternType="solid">
        <fgColor rgb="FF14110E"/>
      </patternFill>
    </fill>
    <fill>
      <patternFill patternType="solid">
        <fgColor rgb="FFFAF7F0"/>
      </patternFill>
    </fill>
    <fill>
      <patternFill patternType="solid">
        <fgColor rgb="FFFFFCF7"/>
      </patternFill>
    </fill>
    <fill>
      <patternFill patternType="solid">
        <fgColor rgb="FFF4E8D7"/>
      </patternFill>
    </fill>
    <fill>
      <patternFill patternType="solid">
        <fgColor rgb="FFE8D2B4"/>
      </patternFill>
    </fill>
    <fill>
      <patternFill patternType="solid">
        <fgColor rgb="FFF8E6C8"/>
      </patternFill>
    </fill>
    <fill>
      <patternFill patternType="solid">
        <fgColor rgb="FFF7EBDD"/>
      </patternFill>
    </fill>
    <fill>
      <patternFill patternType="solid">
        <fgColor rgb="FFEED9BB"/>
      </patternFill>
    </fill>
    <fill>
      <patternFill patternType="solid">
        <fgColor rgb="FFDFC198"/>
      </patternFill>
    </fill>
    <fill>
      <patternFill patternType="solid">
        <fgColor rgb="FFB88B5B"/>
      </patternFill>
    </fill>
    <fill>
      <patternFill patternType="solid">
        <fgColor rgb="FFFAF1EC"/>
      </patternFill>
    </fill>
    <fill>
      <patternFill patternType="solid">
        <fgColor rgb="FFF5F0F7"/>
      </patternFill>
    </fill>
  </fills>
  <borders count="18">
    <border>
      <left/>
      <right/>
      <top/>
      <bottom/>
      <diagonal/>
    </border>
    <border>
      <left style="thin">
        <color rgb="FFE3D8CA"/>
      </left>
      <right style="thin">
        <color rgb="FFE3D8CA"/>
      </right>
      <top style="thin">
        <color rgb="FFE3D8CA"/>
      </top>
      <bottom style="thin">
        <color rgb="FFE3D8CA"/>
      </bottom>
      <diagonal/>
    </border>
    <border>
      <left style="hair">
        <color rgb="FF8D6845"/>
      </left>
      <right style="hair">
        <color rgb="FF8D6845"/>
      </right>
      <top style="hair">
        <color rgb="FF8D6845"/>
      </top>
      <bottom style="thin">
        <color rgb="FF8D6845"/>
      </bottom>
      <diagonal/>
    </border>
    <border>
      <left style="hair">
        <color rgb="FFE3D8CA"/>
      </left>
      <right style="hair">
        <color rgb="FFE3D8CA"/>
      </right>
      <top style="hair">
        <color rgb="FFE3D8CA"/>
      </top>
      <bottom style="thin">
        <color rgb="FFE3D8CA"/>
      </bottom>
      <diagonal/>
    </border>
    <border>
      <left style="hair">
        <color rgb="FF8D6845"/>
      </left>
      <right style="hair">
        <color rgb="FF8D6845"/>
      </right>
      <top style="thin">
        <color rgb="FF8D6845"/>
      </top>
      <bottom style="thin">
        <color rgb="FF8D6845"/>
      </bottom>
      <diagonal/>
    </border>
    <border>
      <left style="thin">
        <color rgb="FF8D6845"/>
      </left>
      <right style="thin">
        <color rgb="FF8D6845"/>
      </right>
      <top style="thin">
        <color rgb="FF8D6845"/>
      </top>
      <bottom style="thin">
        <color rgb="FF8D6845"/>
      </bottom>
      <diagonal/>
    </border>
    <border>
      <left/>
      <right/>
      <top style="thin">
        <color rgb="FFE3D8CA"/>
      </top>
      <bottom/>
      <diagonal/>
    </border>
    <border>
      <left/>
      <right style="thin">
        <color rgb="FFE3D8CA"/>
      </right>
      <top style="thin">
        <color rgb="FFE3D8CA"/>
      </top>
      <bottom/>
      <diagonal/>
    </border>
    <border>
      <left/>
      <right/>
      <top style="thin">
        <color rgb="FFE3D8CA"/>
      </top>
      <bottom style="thin">
        <color rgb="FFE3D8CA"/>
      </bottom>
      <diagonal/>
    </border>
    <border>
      <left/>
      <right style="thin">
        <color rgb="FFE3D8CA"/>
      </right>
      <top style="thin">
        <color rgb="FFE3D8CA"/>
      </top>
      <bottom style="thin">
        <color rgb="FFE3D8CA"/>
      </bottom>
      <diagonal/>
    </border>
    <border>
      <left/>
      <right/>
      <top style="hair">
        <color rgb="FFE3D8CA"/>
      </top>
      <bottom/>
      <diagonal/>
    </border>
    <border>
      <left/>
      <right style="hair">
        <color rgb="FFE3D8CA"/>
      </right>
      <top style="hair">
        <color rgb="FFE3D8CA"/>
      </top>
      <bottom/>
      <diagonal/>
    </border>
    <border>
      <left/>
      <right/>
      <top style="hair">
        <color rgb="FFE3D8CA"/>
      </top>
      <bottom style="thin">
        <color rgb="FFE3D8CA"/>
      </bottom>
      <diagonal/>
    </border>
    <border>
      <left/>
      <right style="hair">
        <color rgb="FFE3D8CA"/>
      </right>
      <top style="hair">
        <color rgb="FFE3D8CA"/>
      </top>
      <bottom style="thin">
        <color rgb="FFE3D8CA"/>
      </bottom>
      <diagonal/>
    </border>
    <border>
      <left/>
      <right/>
      <top style="hair">
        <color rgb="FF8D6845"/>
      </top>
      <bottom/>
      <diagonal/>
    </border>
    <border>
      <left/>
      <right style="hair">
        <color rgb="FF8D6845"/>
      </right>
      <top style="hair">
        <color rgb="FF8D6845"/>
      </top>
      <bottom/>
      <diagonal/>
    </border>
    <border>
      <left/>
      <right/>
      <top style="hair">
        <color rgb="FF8D6845"/>
      </top>
      <bottom style="thin">
        <color rgb="FF8D6845"/>
      </bottom>
      <diagonal/>
    </border>
    <border>
      <left/>
      <right style="hair">
        <color rgb="FF8D6845"/>
      </right>
      <top style="hair">
        <color rgb="FF8D6845"/>
      </top>
      <bottom style="thin">
        <color rgb="FF8D6845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5" fontId="6" fillId="5" borderId="4" applyAlignment="1" pivotButton="0" quotePrefix="0" xfId="0">
      <alignment horizontal="right" vertical="center"/>
    </xf>
    <xf numFmtId="0" fontId="7" fillId="6" borderId="2" applyAlignment="1" pivotButton="0" quotePrefix="0" xfId="0">
      <alignment vertical="center" wrapText="1"/>
    </xf>
    <xf numFmtId="0" fontId="7" fillId="6" borderId="2" pivotButton="0" quotePrefix="0" xfId="0"/>
    <xf numFmtId="0" fontId="8" fillId="3" borderId="1" applyAlignment="1" pivotButton="0" quotePrefix="0" xfId="0">
      <alignment horizontal="left" vertical="center"/>
    </xf>
    <xf numFmtId="0" fontId="1" fillId="7" borderId="3" applyAlignment="1" pivotButton="0" quotePrefix="0" xfId="0">
      <alignment horizontal="right" vertical="center"/>
    </xf>
    <xf numFmtId="0" fontId="2" fillId="7" borderId="3" applyAlignment="1" pivotButton="0" quotePrefix="0" xfId="0">
      <alignment horizontal="right" vertical="center"/>
    </xf>
    <xf numFmtId="0" fontId="8" fillId="4" borderId="1" applyAlignment="1" pivotButton="0" quotePrefix="0" xfId="0">
      <alignment vertical="center" wrapText="1"/>
    </xf>
    <xf numFmtId="0" fontId="8" fillId="7" borderId="3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 wrapText="1"/>
    </xf>
    <xf numFmtId="3" fontId="8" fillId="7" borderId="3" applyAlignment="1" pivotButton="0" quotePrefix="0" xfId="0">
      <alignment horizontal="left" vertical="center" wrapText="1"/>
    </xf>
    <xf numFmtId="166" fontId="5" fillId="4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right" vertical="center"/>
    </xf>
    <xf numFmtId="0" fontId="9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10" fillId="5" borderId="4" applyAlignment="1" pivotButton="0" quotePrefix="0" xfId="0">
      <alignment horizontal="left" vertical="center" wrapText="1"/>
    </xf>
    <xf numFmtId="0" fontId="10" fillId="6" borderId="5" applyAlignment="1" pivotButton="0" quotePrefix="0" xfId="0">
      <alignment horizontal="left" vertical="center" wrapText="1"/>
    </xf>
    <xf numFmtId="165" fontId="6" fillId="6" borderId="5" applyAlignment="1" pivotButton="0" quotePrefix="0" xfId="0">
      <alignment horizontal="right" vertical="center"/>
    </xf>
    <xf numFmtId="0" fontId="8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tabColor rgb="FF14110E"/>
    <outlinePr summaryBelow="1" summaryRight="1"/>
    <pageSetUpPr/>
  </sheetPr>
  <dimension ref="A1:E55"/>
  <sheetViews>
    <sheetView showGridLines="0" workbookViewId="0">
      <pane xSplit="1" ySplit="4" topLeftCell="B5" activePane="bottomRight" state="frozen"/>
      <selection pane="bottomRight" activeCell="A1" sqref="A1"/>
    </sheetView>
  </sheetViews>
  <sheetFormatPr baseColWidth="8" defaultRowHeight="25" customHeight="1"/>
  <cols>
    <col width="34" customWidth="1" min="1" max="1"/>
    <col width="24" customWidth="1" min="2" max="5"/>
  </cols>
  <sheetData>
    <row r="1" ht="38" customHeight="1">
      <c r="A1" s="1" t="inlineStr">
        <is>
          <t>SPECTRA | Investor Forecast Summary</t>
        </is>
      </c>
      <c r="B1" s="36" t="n"/>
      <c r="C1" s="36" t="n"/>
      <c r="D1" s="36" t="n"/>
      <c r="E1" s="37" t="n"/>
    </row>
    <row r="2" ht="34" customHeight="1">
      <c r="A2" s="2" t="inlineStr">
        <is>
          <t>Premium view of the live forecast: year milestones, cash need, breakeven, and chart-ready data.</t>
        </is>
      </c>
      <c r="B2" s="36" t="n"/>
      <c r="C2" s="36" t="n"/>
      <c r="D2" s="36" t="n"/>
      <c r="E2" s="37" t="n"/>
    </row>
    <row r="4" ht="29" customHeight="1">
      <c r="A4" s="3" t="inlineStr">
        <is>
          <t>Metric</t>
        </is>
      </c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</row>
    <row r="5">
      <c r="A5" s="4" t="inlineStr">
        <is>
          <t>Ending Subscribers</t>
        </is>
      </c>
      <c r="B5" s="5">
        <f>'Forecast'!N7</f>
        <v/>
      </c>
      <c r="C5" s="5">
        <f>'Forecast'!Z7</f>
        <v/>
      </c>
      <c r="D5" s="5">
        <f>'Forecast'!AL7</f>
        <v/>
      </c>
    </row>
    <row r="6">
      <c r="A6" s="4" t="inlineStr">
        <is>
          <t>New Subscribers</t>
        </is>
      </c>
      <c r="B6" s="5">
        <f>SUM('Forecast'!C5:'Forecast'!N5)</f>
        <v/>
      </c>
      <c r="C6" s="5">
        <f>SUM('Forecast'!O5:'Forecast'!Z5)</f>
        <v/>
      </c>
      <c r="D6" s="5">
        <f>SUM('Forecast'!AA5:'Forecast'!AL5)</f>
        <v/>
      </c>
    </row>
    <row r="7">
      <c r="A7" s="4" t="inlineStr">
        <is>
          <t>Ending MRR</t>
        </is>
      </c>
      <c r="B7" s="6">
        <f>'Forecast'!N11</f>
        <v/>
      </c>
      <c r="C7" s="6">
        <f>'Forecast'!Z11</f>
        <v/>
      </c>
      <c r="D7" s="6">
        <f>'Forecast'!AL11</f>
        <v/>
      </c>
    </row>
    <row r="8">
      <c r="A8" s="4" t="inlineStr">
        <is>
          <t>Ending ARR</t>
        </is>
      </c>
      <c r="B8" s="6">
        <f>'Forecast'!N12</f>
        <v/>
      </c>
      <c r="C8" s="6">
        <f>'Forecast'!Z12</f>
        <v/>
      </c>
      <c r="D8" s="6">
        <f>'Forecast'!AL12</f>
        <v/>
      </c>
    </row>
    <row r="9">
      <c r="A9" s="4" t="inlineStr">
        <is>
          <t>Total Revenue</t>
        </is>
      </c>
      <c r="B9" s="6">
        <f>SUM('Forecast'!C11:'Forecast'!N11)</f>
        <v/>
      </c>
      <c r="C9" s="6">
        <f>SUM('Forecast'!O11:'Forecast'!Z11)</f>
        <v/>
      </c>
      <c r="D9" s="6">
        <f>SUM('Forecast'!AA11:'Forecast'!AL11)</f>
        <v/>
      </c>
    </row>
    <row r="10">
      <c r="A10" s="4" t="inlineStr">
        <is>
          <t>Total Expenses</t>
        </is>
      </c>
      <c r="B10" s="6">
        <f>SUM('Forecast'!C35:'Forecast'!N35)</f>
        <v/>
      </c>
      <c r="C10" s="6">
        <f>SUM('Forecast'!O35:'Forecast'!Z35)</f>
        <v/>
      </c>
      <c r="D10" s="6">
        <f>SUM('Forecast'!AA35:'Forecast'!AL35)</f>
        <v/>
      </c>
    </row>
    <row r="11">
      <c r="A11" s="4" t="inlineStr">
        <is>
          <t>EBITDA</t>
        </is>
      </c>
      <c r="B11" s="6">
        <f>SUM('Forecast'!C36:'Forecast'!N36)</f>
        <v/>
      </c>
      <c r="C11" s="6">
        <f>SUM('Forecast'!O36:'Forecast'!Z36)</f>
        <v/>
      </c>
      <c r="D11" s="6">
        <f>SUM('Forecast'!AA36:'Forecast'!AL36)</f>
        <v/>
      </c>
    </row>
    <row r="14" ht="30" customHeight="1">
      <c r="A14" s="7" t="inlineStr">
        <is>
          <t>Breakeven Month</t>
        </is>
      </c>
      <c r="B14" s="7">
        <f>IFERROR(INDEX(Forecast!$C$1:$AL$1,XMATCH(TRUE,Forecast!$C$36:$AL$36&gt;0)),"Not reached")</f>
        <v/>
      </c>
      <c r="C14" s="8" t="n"/>
      <c r="D14" s="8" t="n"/>
      <c r="E14" s="8" t="n"/>
    </row>
    <row r="15" ht="30" customHeight="1">
      <c r="A15" s="7" t="inlineStr">
        <is>
          <t>Peak Cash Need</t>
        </is>
      </c>
      <c r="B15" s="6">
        <f>ABS(MIN(0,MIN(Forecast!$C$37:$AL$37)))</f>
        <v/>
      </c>
      <c r="C15" s="8" t="n"/>
      <c r="D15" s="8" t="n"/>
      <c r="E15" s="8" t="n"/>
    </row>
    <row r="18" ht="30" customHeight="1">
      <c r="A18" s="7" t="inlineStr">
        <is>
          <t>Chart Data</t>
        </is>
      </c>
      <c r="B18" s="7" t="inlineStr">
        <is>
          <t>Use this block for ARR / MRR / Subscribers / EBITDA charts</t>
        </is>
      </c>
      <c r="C18" s="8" t="n"/>
      <c r="D18" s="8" t="n"/>
      <c r="E18" s="8" t="n"/>
    </row>
    <row r="19" ht="29" customHeight="1">
      <c r="A19" s="3" t="inlineStr">
        <is>
          <t>Month</t>
        </is>
      </c>
      <c r="B19" s="3" t="inlineStr">
        <is>
          <t>Subscribers</t>
        </is>
      </c>
      <c r="C19" s="3" t="inlineStr">
        <is>
          <t>MRR</t>
        </is>
      </c>
      <c r="D19" s="3" t="inlineStr">
        <is>
          <t>ARR</t>
        </is>
      </c>
      <c r="E19" s="3" t="inlineStr">
        <is>
          <t>EBITDA</t>
        </is>
      </c>
    </row>
    <row r="20">
      <c r="A20" s="9" t="inlineStr">
        <is>
          <t>Jun 26</t>
        </is>
      </c>
      <c r="B20" s="5">
        <f>'Forecast'!C7</f>
        <v/>
      </c>
      <c r="C20" s="6">
        <f>'Forecast'!C11</f>
        <v/>
      </c>
      <c r="D20" s="6">
        <f>'Forecast'!C12</f>
        <v/>
      </c>
      <c r="E20" s="6">
        <f>'Forecast'!C36</f>
        <v/>
      </c>
    </row>
    <row r="21">
      <c r="A21" s="9" t="inlineStr">
        <is>
          <t>Jul 26</t>
        </is>
      </c>
      <c r="B21" s="5">
        <f>'Forecast'!D7</f>
        <v/>
      </c>
      <c r="C21" s="6">
        <f>'Forecast'!D11</f>
        <v/>
      </c>
      <c r="D21" s="6">
        <f>'Forecast'!D12</f>
        <v/>
      </c>
      <c r="E21" s="6">
        <f>'Forecast'!D36</f>
        <v/>
      </c>
    </row>
    <row r="22">
      <c r="A22" s="9" t="inlineStr">
        <is>
          <t>Aug 26</t>
        </is>
      </c>
      <c r="B22" s="5">
        <f>'Forecast'!E7</f>
        <v/>
      </c>
      <c r="C22" s="6">
        <f>'Forecast'!E11</f>
        <v/>
      </c>
      <c r="D22" s="6">
        <f>'Forecast'!E12</f>
        <v/>
      </c>
      <c r="E22" s="6">
        <f>'Forecast'!E36</f>
        <v/>
      </c>
    </row>
    <row r="23">
      <c r="A23" s="9" t="inlineStr">
        <is>
          <t>Sep 26</t>
        </is>
      </c>
      <c r="B23" s="5">
        <f>'Forecast'!F7</f>
        <v/>
      </c>
      <c r="C23" s="6">
        <f>'Forecast'!F11</f>
        <v/>
      </c>
      <c r="D23" s="6">
        <f>'Forecast'!F12</f>
        <v/>
      </c>
      <c r="E23" s="6">
        <f>'Forecast'!F36</f>
        <v/>
      </c>
    </row>
    <row r="24">
      <c r="A24" s="9" t="inlineStr">
        <is>
          <t>Oct 26</t>
        </is>
      </c>
      <c r="B24" s="5">
        <f>'Forecast'!G7</f>
        <v/>
      </c>
      <c r="C24" s="6">
        <f>'Forecast'!G11</f>
        <v/>
      </c>
      <c r="D24" s="6">
        <f>'Forecast'!G12</f>
        <v/>
      </c>
      <c r="E24" s="6">
        <f>'Forecast'!G36</f>
        <v/>
      </c>
    </row>
    <row r="25">
      <c r="A25" s="9" t="inlineStr">
        <is>
          <t>Nov 26</t>
        </is>
      </c>
      <c r="B25" s="5">
        <f>'Forecast'!H7</f>
        <v/>
      </c>
      <c r="C25" s="6">
        <f>'Forecast'!H11</f>
        <v/>
      </c>
      <c r="D25" s="6">
        <f>'Forecast'!H12</f>
        <v/>
      </c>
      <c r="E25" s="6">
        <f>'Forecast'!H36</f>
        <v/>
      </c>
    </row>
    <row r="26">
      <c r="A26" s="9" t="inlineStr">
        <is>
          <t>Dec 26</t>
        </is>
      </c>
      <c r="B26" s="5">
        <f>'Forecast'!I7</f>
        <v/>
      </c>
      <c r="C26" s="6">
        <f>'Forecast'!I11</f>
        <v/>
      </c>
      <c r="D26" s="6">
        <f>'Forecast'!I12</f>
        <v/>
      </c>
      <c r="E26" s="6">
        <f>'Forecast'!I36</f>
        <v/>
      </c>
    </row>
    <row r="27">
      <c r="A27" s="9" t="inlineStr">
        <is>
          <t>Jan 27</t>
        </is>
      </c>
      <c r="B27" s="5">
        <f>'Forecast'!J7</f>
        <v/>
      </c>
      <c r="C27" s="6">
        <f>'Forecast'!J11</f>
        <v/>
      </c>
      <c r="D27" s="6">
        <f>'Forecast'!J12</f>
        <v/>
      </c>
      <c r="E27" s="6">
        <f>'Forecast'!J36</f>
        <v/>
      </c>
    </row>
    <row r="28">
      <c r="A28" s="9" t="inlineStr">
        <is>
          <t>Feb 27</t>
        </is>
      </c>
      <c r="B28" s="5">
        <f>'Forecast'!K7</f>
        <v/>
      </c>
      <c r="C28" s="6">
        <f>'Forecast'!K11</f>
        <v/>
      </c>
      <c r="D28" s="6">
        <f>'Forecast'!K12</f>
        <v/>
      </c>
      <c r="E28" s="6">
        <f>'Forecast'!K36</f>
        <v/>
      </c>
    </row>
    <row r="29">
      <c r="A29" s="9" t="inlineStr">
        <is>
          <t>Mar 27</t>
        </is>
      </c>
      <c r="B29" s="5">
        <f>'Forecast'!L7</f>
        <v/>
      </c>
      <c r="C29" s="6">
        <f>'Forecast'!L11</f>
        <v/>
      </c>
      <c r="D29" s="6">
        <f>'Forecast'!L12</f>
        <v/>
      </c>
      <c r="E29" s="6">
        <f>'Forecast'!L36</f>
        <v/>
      </c>
    </row>
    <row r="30">
      <c r="A30" s="9" t="inlineStr">
        <is>
          <t>Apr 27</t>
        </is>
      </c>
      <c r="B30" s="5">
        <f>'Forecast'!M7</f>
        <v/>
      </c>
      <c r="C30" s="6">
        <f>'Forecast'!M11</f>
        <v/>
      </c>
      <c r="D30" s="6">
        <f>'Forecast'!M12</f>
        <v/>
      </c>
      <c r="E30" s="6">
        <f>'Forecast'!M36</f>
        <v/>
      </c>
    </row>
    <row r="31">
      <c r="A31" s="9" t="inlineStr">
        <is>
          <t>May 27</t>
        </is>
      </c>
      <c r="B31" s="5">
        <f>'Forecast'!N7</f>
        <v/>
      </c>
      <c r="C31" s="6">
        <f>'Forecast'!N11</f>
        <v/>
      </c>
      <c r="D31" s="6">
        <f>'Forecast'!N12</f>
        <v/>
      </c>
      <c r="E31" s="6">
        <f>'Forecast'!N36</f>
        <v/>
      </c>
    </row>
    <row r="32">
      <c r="A32" s="9" t="inlineStr">
        <is>
          <t>Jun 27</t>
        </is>
      </c>
      <c r="B32" s="5">
        <f>'Forecast'!O7</f>
        <v/>
      </c>
      <c r="C32" s="6">
        <f>'Forecast'!O11</f>
        <v/>
      </c>
      <c r="D32" s="6">
        <f>'Forecast'!O12</f>
        <v/>
      </c>
      <c r="E32" s="6">
        <f>'Forecast'!O36</f>
        <v/>
      </c>
    </row>
    <row r="33">
      <c r="A33" s="9" t="inlineStr">
        <is>
          <t>Jul 27</t>
        </is>
      </c>
      <c r="B33" s="5">
        <f>'Forecast'!P7</f>
        <v/>
      </c>
      <c r="C33" s="6">
        <f>'Forecast'!P11</f>
        <v/>
      </c>
      <c r="D33" s="6">
        <f>'Forecast'!P12</f>
        <v/>
      </c>
      <c r="E33" s="6">
        <f>'Forecast'!P36</f>
        <v/>
      </c>
    </row>
    <row r="34">
      <c r="A34" s="9" t="inlineStr">
        <is>
          <t>Aug 27</t>
        </is>
      </c>
      <c r="B34" s="5">
        <f>'Forecast'!Q7</f>
        <v/>
      </c>
      <c r="C34" s="6">
        <f>'Forecast'!Q11</f>
        <v/>
      </c>
      <c r="D34" s="6">
        <f>'Forecast'!Q12</f>
        <v/>
      </c>
      <c r="E34" s="6">
        <f>'Forecast'!Q36</f>
        <v/>
      </c>
    </row>
    <row r="35">
      <c r="A35" s="9" t="inlineStr">
        <is>
          <t>Sep 27</t>
        </is>
      </c>
      <c r="B35" s="5">
        <f>'Forecast'!R7</f>
        <v/>
      </c>
      <c r="C35" s="6">
        <f>'Forecast'!R11</f>
        <v/>
      </c>
      <c r="D35" s="6">
        <f>'Forecast'!R12</f>
        <v/>
      </c>
      <c r="E35" s="6">
        <f>'Forecast'!R36</f>
        <v/>
      </c>
    </row>
    <row r="36">
      <c r="A36" s="9" t="inlineStr">
        <is>
          <t>Oct 27</t>
        </is>
      </c>
      <c r="B36" s="5">
        <f>'Forecast'!S7</f>
        <v/>
      </c>
      <c r="C36" s="6">
        <f>'Forecast'!S11</f>
        <v/>
      </c>
      <c r="D36" s="6">
        <f>'Forecast'!S12</f>
        <v/>
      </c>
      <c r="E36" s="6">
        <f>'Forecast'!S36</f>
        <v/>
      </c>
    </row>
    <row r="37">
      <c r="A37" s="9" t="inlineStr">
        <is>
          <t>Nov 27</t>
        </is>
      </c>
      <c r="B37" s="5">
        <f>'Forecast'!T7</f>
        <v/>
      </c>
      <c r="C37" s="6">
        <f>'Forecast'!T11</f>
        <v/>
      </c>
      <c r="D37" s="6">
        <f>'Forecast'!T12</f>
        <v/>
      </c>
      <c r="E37" s="6">
        <f>'Forecast'!T36</f>
        <v/>
      </c>
    </row>
    <row r="38">
      <c r="A38" s="9" t="inlineStr">
        <is>
          <t>Dec 27</t>
        </is>
      </c>
      <c r="B38" s="5">
        <f>'Forecast'!U7</f>
        <v/>
      </c>
      <c r="C38" s="6">
        <f>'Forecast'!U11</f>
        <v/>
      </c>
      <c r="D38" s="6">
        <f>'Forecast'!U12</f>
        <v/>
      </c>
      <c r="E38" s="6">
        <f>'Forecast'!U36</f>
        <v/>
      </c>
    </row>
    <row r="39">
      <c r="A39" s="9" t="inlineStr">
        <is>
          <t>Jan 28</t>
        </is>
      </c>
      <c r="B39" s="5">
        <f>'Forecast'!V7</f>
        <v/>
      </c>
      <c r="C39" s="6">
        <f>'Forecast'!V11</f>
        <v/>
      </c>
      <c r="D39" s="6">
        <f>'Forecast'!V12</f>
        <v/>
      </c>
      <c r="E39" s="6">
        <f>'Forecast'!V36</f>
        <v/>
      </c>
    </row>
    <row r="40">
      <c r="A40" s="9" t="inlineStr">
        <is>
          <t>Feb 28</t>
        </is>
      </c>
      <c r="B40" s="5">
        <f>'Forecast'!W7</f>
        <v/>
      </c>
      <c r="C40" s="6">
        <f>'Forecast'!W11</f>
        <v/>
      </c>
      <c r="D40" s="6">
        <f>'Forecast'!W12</f>
        <v/>
      </c>
      <c r="E40" s="6">
        <f>'Forecast'!W36</f>
        <v/>
      </c>
    </row>
    <row r="41">
      <c r="A41" s="9" t="inlineStr">
        <is>
          <t>Mar 28</t>
        </is>
      </c>
      <c r="B41" s="5">
        <f>'Forecast'!X7</f>
        <v/>
      </c>
      <c r="C41" s="6">
        <f>'Forecast'!X11</f>
        <v/>
      </c>
      <c r="D41" s="6">
        <f>'Forecast'!X12</f>
        <v/>
      </c>
      <c r="E41" s="6">
        <f>'Forecast'!X36</f>
        <v/>
      </c>
    </row>
    <row r="42">
      <c r="A42" s="9" t="inlineStr">
        <is>
          <t>Apr 28</t>
        </is>
      </c>
      <c r="B42" s="5">
        <f>'Forecast'!Y7</f>
        <v/>
      </c>
      <c r="C42" s="6">
        <f>'Forecast'!Y11</f>
        <v/>
      </c>
      <c r="D42" s="6">
        <f>'Forecast'!Y12</f>
        <v/>
      </c>
      <c r="E42" s="6">
        <f>'Forecast'!Y36</f>
        <v/>
      </c>
    </row>
    <row r="43">
      <c r="A43" s="9" t="inlineStr">
        <is>
          <t>May 28</t>
        </is>
      </c>
      <c r="B43" s="5">
        <f>'Forecast'!Z7</f>
        <v/>
      </c>
      <c r="C43" s="6">
        <f>'Forecast'!Z11</f>
        <v/>
      </c>
      <c r="D43" s="6">
        <f>'Forecast'!Z12</f>
        <v/>
      </c>
      <c r="E43" s="6">
        <f>'Forecast'!Z36</f>
        <v/>
      </c>
    </row>
    <row r="44">
      <c r="A44" s="9" t="inlineStr">
        <is>
          <t>Jun 28</t>
        </is>
      </c>
      <c r="B44" s="5">
        <f>'Forecast'!AA7</f>
        <v/>
      </c>
      <c r="C44" s="6">
        <f>'Forecast'!AA11</f>
        <v/>
      </c>
      <c r="D44" s="6">
        <f>'Forecast'!AA12</f>
        <v/>
      </c>
      <c r="E44" s="6">
        <f>'Forecast'!AA36</f>
        <v/>
      </c>
    </row>
    <row r="45">
      <c r="A45" s="9" t="inlineStr">
        <is>
          <t>Jul 28</t>
        </is>
      </c>
      <c r="B45" s="5">
        <f>'Forecast'!AB7</f>
        <v/>
      </c>
      <c r="C45" s="6">
        <f>'Forecast'!AB11</f>
        <v/>
      </c>
      <c r="D45" s="6">
        <f>'Forecast'!AB12</f>
        <v/>
      </c>
      <c r="E45" s="6">
        <f>'Forecast'!AB36</f>
        <v/>
      </c>
    </row>
    <row r="46">
      <c r="A46" s="9" t="inlineStr">
        <is>
          <t>Aug 28</t>
        </is>
      </c>
      <c r="B46" s="5">
        <f>'Forecast'!AC7</f>
        <v/>
      </c>
      <c r="C46" s="6">
        <f>'Forecast'!AC11</f>
        <v/>
      </c>
      <c r="D46" s="6">
        <f>'Forecast'!AC12</f>
        <v/>
      </c>
      <c r="E46" s="6">
        <f>'Forecast'!AC36</f>
        <v/>
      </c>
    </row>
    <row r="47">
      <c r="A47" s="9" t="inlineStr">
        <is>
          <t>Sep 28</t>
        </is>
      </c>
      <c r="B47" s="5">
        <f>'Forecast'!AD7</f>
        <v/>
      </c>
      <c r="C47" s="6">
        <f>'Forecast'!AD11</f>
        <v/>
      </c>
      <c r="D47" s="6">
        <f>'Forecast'!AD12</f>
        <v/>
      </c>
      <c r="E47" s="6">
        <f>'Forecast'!AD36</f>
        <v/>
      </c>
    </row>
    <row r="48">
      <c r="A48" s="9" t="inlineStr">
        <is>
          <t>Oct 28</t>
        </is>
      </c>
      <c r="B48" s="5">
        <f>'Forecast'!AE7</f>
        <v/>
      </c>
      <c r="C48" s="6">
        <f>'Forecast'!AE11</f>
        <v/>
      </c>
      <c r="D48" s="6">
        <f>'Forecast'!AE12</f>
        <v/>
      </c>
      <c r="E48" s="6">
        <f>'Forecast'!AE36</f>
        <v/>
      </c>
    </row>
    <row r="49">
      <c r="A49" s="9" t="inlineStr">
        <is>
          <t>Nov 28</t>
        </is>
      </c>
      <c r="B49" s="5">
        <f>'Forecast'!AF7</f>
        <v/>
      </c>
      <c r="C49" s="6">
        <f>'Forecast'!AF11</f>
        <v/>
      </c>
      <c r="D49" s="6">
        <f>'Forecast'!AF12</f>
        <v/>
      </c>
      <c r="E49" s="6">
        <f>'Forecast'!AF36</f>
        <v/>
      </c>
    </row>
    <row r="50">
      <c r="A50" s="9" t="inlineStr">
        <is>
          <t>Dec 28</t>
        </is>
      </c>
      <c r="B50" s="5">
        <f>'Forecast'!AG7</f>
        <v/>
      </c>
      <c r="C50" s="6">
        <f>'Forecast'!AG11</f>
        <v/>
      </c>
      <c r="D50" s="6">
        <f>'Forecast'!AG12</f>
        <v/>
      </c>
      <c r="E50" s="6">
        <f>'Forecast'!AG36</f>
        <v/>
      </c>
    </row>
    <row r="51">
      <c r="A51" s="9" t="inlineStr">
        <is>
          <t>Jan 29</t>
        </is>
      </c>
      <c r="B51" s="5">
        <f>'Forecast'!AH7</f>
        <v/>
      </c>
      <c r="C51" s="6">
        <f>'Forecast'!AH11</f>
        <v/>
      </c>
      <c r="D51" s="6">
        <f>'Forecast'!AH12</f>
        <v/>
      </c>
      <c r="E51" s="6">
        <f>'Forecast'!AH36</f>
        <v/>
      </c>
    </row>
    <row r="52">
      <c r="A52" s="9" t="inlineStr">
        <is>
          <t>Feb 29</t>
        </is>
      </c>
      <c r="B52" s="5">
        <f>'Forecast'!AI7</f>
        <v/>
      </c>
      <c r="C52" s="6">
        <f>'Forecast'!AI11</f>
        <v/>
      </c>
      <c r="D52" s="6">
        <f>'Forecast'!AI12</f>
        <v/>
      </c>
      <c r="E52" s="6">
        <f>'Forecast'!AI36</f>
        <v/>
      </c>
    </row>
    <row r="53">
      <c r="A53" s="9" t="inlineStr">
        <is>
          <t>Mar 29</t>
        </is>
      </c>
      <c r="B53" s="5">
        <f>'Forecast'!AJ7</f>
        <v/>
      </c>
      <c r="C53" s="6">
        <f>'Forecast'!AJ11</f>
        <v/>
      </c>
      <c r="D53" s="6">
        <f>'Forecast'!AJ12</f>
        <v/>
      </c>
      <c r="E53" s="6">
        <f>'Forecast'!AJ36</f>
        <v/>
      </c>
    </row>
    <row r="54">
      <c r="A54" s="9" t="inlineStr">
        <is>
          <t>Apr 29</t>
        </is>
      </c>
      <c r="B54" s="5">
        <f>'Forecast'!AK7</f>
        <v/>
      </c>
      <c r="C54" s="6">
        <f>'Forecast'!AK11</f>
        <v/>
      </c>
      <c r="D54" s="6">
        <f>'Forecast'!AK12</f>
        <v/>
      </c>
      <c r="E54" s="6">
        <f>'Forecast'!AK36</f>
        <v/>
      </c>
    </row>
    <row r="55">
      <c r="A55" s="9" t="inlineStr">
        <is>
          <t>May 29</t>
        </is>
      </c>
      <c r="B55" s="5">
        <f>'Forecast'!AL7</f>
        <v/>
      </c>
      <c r="C55" s="6">
        <f>'Forecast'!AL11</f>
        <v/>
      </c>
      <c r="D55" s="6">
        <f>'Forecast'!AL12</f>
        <v/>
      </c>
      <c r="E55" s="6">
        <f>'Forecast'!AL36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D2B4"/>
    <outlinePr summaryBelow="1" summaryRight="1"/>
    <pageSetUpPr/>
  </sheetPr>
  <dimension ref="A1:AP97"/>
  <sheetViews>
    <sheetView showGridLines="0" workbookViewId="0">
      <pane xSplit="2" ySplit="20" topLeftCell="C21" activePane="bottomRight" state="frozen"/>
      <selection pane="bottomRight" activeCell="A1" sqref="A1"/>
    </sheetView>
  </sheetViews>
  <sheetFormatPr baseColWidth="8" defaultRowHeight="25" customHeight="1"/>
  <cols>
    <col width="30" customWidth="1" min="1" max="1"/>
    <col width="38" customWidth="1" min="2" max="2"/>
    <col width="46" customWidth="1" min="3" max="3"/>
    <col width="24" customWidth="1" min="4" max="4"/>
    <col width="20" customWidth="1" min="5" max="5"/>
    <col width="62" customWidth="1" min="6" max="6"/>
    <col width="15.5" customWidth="1" min="7" max="42"/>
  </cols>
  <sheetData>
    <row r="1" ht="25" customHeight="1">
      <c r="A1" s="10" t="inlineStr">
        <is>
          <t>SPECTRA | Assumptions Control Panel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  <c r="AC1" s="38" t="n"/>
      <c r="AD1" s="38" t="n"/>
      <c r="AE1" s="38" t="n"/>
      <c r="AF1" s="38" t="n"/>
      <c r="AG1" s="38" t="n"/>
      <c r="AH1" s="38" t="n"/>
      <c r="AI1" s="38" t="n"/>
      <c r="AJ1" s="38" t="n"/>
      <c r="AK1" s="38" t="n"/>
      <c r="AL1" s="38" t="n"/>
      <c r="AM1" s="38" t="n"/>
      <c r="AN1" s="38" t="n"/>
      <c r="AO1" s="38" t="n"/>
      <c r="AP1" s="39" t="n"/>
    </row>
    <row r="2" ht="25" customHeight="1">
      <c r="A2" s="11" t="inlineStr">
        <is>
          <t>Change the warm gold cells. The Forecast and Summary tabs update from this control sheet.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  <c r="AL2" s="38" t="n"/>
      <c r="AM2" s="38" t="n"/>
      <c r="AN2" s="38" t="n"/>
      <c r="AO2" s="38" t="n"/>
      <c r="AP2" s="39" t="n"/>
    </row>
    <row r="3" ht="25" customHeight="1">
      <c r="A3" s="12" t="inlineStr">
        <is>
          <t>Generated from</t>
        </is>
      </c>
      <c r="B3" s="13" t="inlineStr">
        <is>
          <t>https://salonos.ai/.netlify/functions/financial-forecast</t>
        </is>
      </c>
    </row>
    <row r="4" ht="25" customHeight="1">
      <c r="A4" s="12" t="inlineStr">
        <is>
          <t>Updated at</t>
        </is>
      </c>
      <c r="B4" s="13" t="inlineStr">
        <is>
          <t>2026-05-14T10:37:13.432Z</t>
        </is>
      </c>
    </row>
    <row r="5" ht="25" customHeight="1"/>
    <row r="6" ht="29" customHeight="1">
      <c r="A6" s="7" t="inlineStr">
        <is>
          <t>Business Base</t>
        </is>
      </c>
      <c r="B6" s="14" t="n"/>
      <c r="C6" s="14" t="n"/>
      <c r="D6" s="14" t="n"/>
      <c r="E6" s="14" t="n"/>
      <c r="F6" s="14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</row>
    <row r="7" ht="29" customHeight="1">
      <c r="A7" s="3" t="inlineStr">
        <is>
          <t>Metric</t>
        </is>
      </c>
      <c r="B7" s="16" t="inlineStr">
        <is>
          <t>Value</t>
        </is>
      </c>
      <c r="C7" s="16" t="inlineStr">
        <is>
          <t>Notes</t>
        </is>
      </c>
    </row>
    <row r="8" ht="25" customHeight="1">
      <c r="A8" s="12" t="inlineStr">
        <is>
          <t>Starting Subscribers</t>
        </is>
      </c>
      <c r="B8" s="17" t="n">
        <v>160</v>
      </c>
      <c r="C8" s="13" t="inlineStr">
        <is>
          <t>Editable input used by first forecast month.</t>
        </is>
      </c>
    </row>
    <row r="9" ht="25" customHeight="1">
      <c r="A9" s="12" t="inlineStr">
        <is>
          <t>Current MRR</t>
        </is>
      </c>
      <c r="B9" s="6" t="n">
        <v>11000</v>
      </c>
      <c r="C9" s="13" t="inlineStr">
        <is>
          <t>Current monthly recurring revenue in USD.</t>
        </is>
      </c>
    </row>
    <row r="10" ht="25" customHeight="1">
      <c r="A10" s="12" t="inlineStr">
        <is>
          <t>Starting ARPU</t>
        </is>
      </c>
      <c r="B10" s="6">
        <f>B9/B8</f>
        <v/>
      </c>
      <c r="C10" s="13" t="inlineStr">
        <is>
          <t>Formula: Current MRR / Starting Subscribers.</t>
        </is>
      </c>
    </row>
    <row r="11" ht="25" customHeight="1">
      <c r="A11" s="12" t="inlineStr">
        <is>
          <t>Israeli Customers</t>
        </is>
      </c>
      <c r="B11" s="17" t="n">
        <v>70</v>
      </c>
      <c r="C11" s="13" t="inlineStr">
        <is>
          <t>Used by VAT Israel calculated row.</t>
        </is>
      </c>
    </row>
    <row r="12" ht="25" customHeight="1">
      <c r="A12" s="12" t="inlineStr">
        <is>
          <t>VAT %</t>
        </is>
      </c>
      <c r="B12" s="18" t="n">
        <v>0.1</v>
      </c>
      <c r="C12" s="13" t="inlineStr">
        <is>
          <t>Stored as a real Excel percentage.</t>
        </is>
      </c>
    </row>
    <row r="13" ht="25" customHeight="1">
      <c r="A13" s="12" t="inlineStr">
        <is>
          <t>Forecast Start Month</t>
        </is>
      </c>
      <c r="B13" s="13" t="inlineStr">
        <is>
          <t>Jun 26</t>
        </is>
      </c>
      <c r="C13" s="13" t="inlineStr">
        <is>
          <t>First model month.</t>
        </is>
      </c>
    </row>
    <row r="14" ht="25" customHeight="1">
      <c r="A14" s="12" t="inlineStr">
        <is>
          <t>Forecast Months</t>
        </is>
      </c>
      <c r="B14" s="17" t="n">
        <v>36</v>
      </c>
      <c r="C14" s="13" t="inlineStr">
        <is>
          <t>36-month forecast horizon.</t>
        </is>
      </c>
    </row>
    <row r="15" ht="25" customHeight="1"/>
    <row r="16" ht="25" customHeight="1"/>
    <row r="17" ht="25" customHeight="1"/>
    <row r="18" ht="29" customHeight="1">
      <c r="A18" s="7" t="inlineStr">
        <is>
          <t>Monthly Growth Assumptions</t>
        </is>
      </c>
      <c r="B18" s="14" t="inlineStr">
        <is>
          <t>CAC, ARPU, churn and campaign spend by month</t>
        </is>
      </c>
      <c r="C18" s="14" t="n"/>
      <c r="D18" s="14" t="n"/>
      <c r="E18" s="14" t="n"/>
      <c r="F18" s="14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</row>
    <row r="19" ht="29" customHeight="1">
      <c r="A19" s="3" t="inlineStr">
        <is>
          <t>Month</t>
        </is>
      </c>
      <c r="B19" s="16" t="inlineStr">
        <is>
          <t>CAC</t>
        </is>
      </c>
      <c r="C19" s="16" t="inlineStr">
        <is>
          <t>ARPU</t>
        </is>
      </c>
      <c r="D19" s="16" t="inlineStr">
        <is>
          <t>Churn %</t>
        </is>
      </c>
      <c r="E19" s="16" t="inlineStr">
        <is>
          <t>Campaign Spend</t>
        </is>
      </c>
    </row>
    <row r="20" ht="25" customHeight="1">
      <c r="A20" s="12" t="inlineStr">
        <is>
          <t>Jun 26</t>
        </is>
      </c>
      <c r="B20" s="6" t="n">
        <v>400</v>
      </c>
      <c r="C20" s="6" t="n">
        <v>68.75</v>
      </c>
      <c r="D20" s="18" t="n">
        <v>0.005</v>
      </c>
      <c r="E20" s="6" t="n">
        <v>1500</v>
      </c>
    </row>
    <row r="21" ht="25" customHeight="1">
      <c r="A21" s="12" t="inlineStr">
        <is>
          <t>Jul 26</t>
        </is>
      </c>
      <c r="B21" s="6" t="n">
        <v>400</v>
      </c>
      <c r="C21" s="6" t="n">
        <v>68.75</v>
      </c>
      <c r="D21" s="18" t="n">
        <v>0.005</v>
      </c>
      <c r="E21" s="6" t="n">
        <v>1500</v>
      </c>
    </row>
    <row r="22" ht="25" customHeight="1">
      <c r="A22" s="12" t="inlineStr">
        <is>
          <t>Aug 26</t>
        </is>
      </c>
      <c r="B22" s="6" t="n">
        <v>400</v>
      </c>
      <c r="C22" s="6" t="n">
        <v>68.75</v>
      </c>
      <c r="D22" s="18" t="n">
        <v>0.005</v>
      </c>
      <c r="E22" s="6" t="n">
        <v>3000</v>
      </c>
    </row>
    <row r="23" ht="25" customHeight="1">
      <c r="A23" s="12" t="inlineStr">
        <is>
          <t>Sep 26</t>
        </is>
      </c>
      <c r="B23" s="6" t="n">
        <v>400</v>
      </c>
      <c r="C23" s="6" t="n">
        <v>68.75</v>
      </c>
      <c r="D23" s="18" t="n">
        <v>0.005</v>
      </c>
      <c r="E23" s="6" t="n">
        <v>3000</v>
      </c>
    </row>
    <row r="24" ht="25" customHeight="1">
      <c r="A24" s="12" t="inlineStr">
        <is>
          <t>Oct 26</t>
        </is>
      </c>
      <c r="B24" s="6" t="n">
        <v>400</v>
      </c>
      <c r="C24" s="6" t="n">
        <v>68.75</v>
      </c>
      <c r="D24" s="18" t="n">
        <v>0.005</v>
      </c>
      <c r="E24" s="6" t="n">
        <v>4500</v>
      </c>
    </row>
    <row r="25" ht="25" customHeight="1">
      <c r="A25" s="12" t="inlineStr">
        <is>
          <t>Nov 26</t>
        </is>
      </c>
      <c r="B25" s="6" t="n">
        <v>400</v>
      </c>
      <c r="C25" s="6" t="n">
        <v>68.75</v>
      </c>
      <c r="D25" s="18" t="n">
        <v>0.005</v>
      </c>
      <c r="E25" s="6" t="n">
        <v>5000</v>
      </c>
    </row>
    <row r="26" ht="25" customHeight="1">
      <c r="A26" s="12" t="inlineStr">
        <is>
          <t>Dec 26</t>
        </is>
      </c>
      <c r="B26" s="6" t="n">
        <v>400</v>
      </c>
      <c r="C26" s="6" t="n">
        <v>68.75</v>
      </c>
      <c r="D26" s="18" t="n">
        <v>0.005</v>
      </c>
      <c r="E26" s="6" t="n">
        <v>7000</v>
      </c>
    </row>
    <row r="27" ht="25" customHeight="1">
      <c r="A27" s="12" t="inlineStr">
        <is>
          <t>Jan 27</t>
        </is>
      </c>
      <c r="B27" s="6" t="n">
        <v>400</v>
      </c>
      <c r="C27" s="6" t="n">
        <v>90</v>
      </c>
      <c r="D27" s="18" t="n">
        <v>0.005</v>
      </c>
      <c r="E27" s="6" t="n">
        <v>12000</v>
      </c>
    </row>
    <row r="28" ht="25" customHeight="1">
      <c r="A28" s="12" t="inlineStr">
        <is>
          <t>Feb 27</t>
        </is>
      </c>
      <c r="B28" s="6" t="n">
        <v>400</v>
      </c>
      <c r="C28" s="6" t="n">
        <v>90</v>
      </c>
      <c r="D28" s="18" t="n">
        <v>0.005</v>
      </c>
      <c r="E28" s="6" t="n">
        <v>20000</v>
      </c>
    </row>
    <row r="29" ht="25" customHeight="1">
      <c r="A29" s="12" t="inlineStr">
        <is>
          <t>Mar 27</t>
        </is>
      </c>
      <c r="B29" s="6" t="n">
        <v>400</v>
      </c>
      <c r="C29" s="6" t="n">
        <v>90</v>
      </c>
      <c r="D29" s="18" t="n">
        <v>0.005</v>
      </c>
      <c r="E29" s="6" t="n">
        <v>20000</v>
      </c>
    </row>
    <row r="30" ht="25" customHeight="1">
      <c r="A30" s="12" t="inlineStr">
        <is>
          <t>Apr 27</t>
        </is>
      </c>
      <c r="B30" s="6" t="n">
        <v>400</v>
      </c>
      <c r="C30" s="6" t="n">
        <v>120</v>
      </c>
      <c r="D30" s="18" t="n">
        <v>0.005</v>
      </c>
      <c r="E30" s="6" t="n">
        <v>20000</v>
      </c>
    </row>
    <row r="31" ht="25" customHeight="1">
      <c r="A31" s="12" t="inlineStr">
        <is>
          <t>May 27</t>
        </is>
      </c>
      <c r="B31" s="6" t="n">
        <v>400</v>
      </c>
      <c r="C31" s="6" t="n">
        <v>120</v>
      </c>
      <c r="D31" s="18" t="n">
        <v>0.005</v>
      </c>
      <c r="E31" s="6" t="n">
        <v>20000</v>
      </c>
    </row>
    <row r="32" ht="25" customHeight="1">
      <c r="A32" s="12" t="inlineStr">
        <is>
          <t>Jun 27</t>
        </is>
      </c>
      <c r="B32" s="6" t="n">
        <v>400</v>
      </c>
      <c r="C32" s="6" t="n">
        <v>150</v>
      </c>
      <c r="D32" s="18" t="n">
        <v>0.005</v>
      </c>
      <c r="E32" s="6" t="n">
        <v>25000</v>
      </c>
    </row>
    <row r="33" ht="25" customHeight="1">
      <c r="A33" s="12" t="inlineStr">
        <is>
          <t>Jul 27</t>
        </is>
      </c>
      <c r="B33" s="6" t="n">
        <v>400</v>
      </c>
      <c r="C33" s="6" t="n">
        <v>150</v>
      </c>
      <c r="D33" s="18" t="n">
        <v>0.005</v>
      </c>
      <c r="E33" s="6" t="n">
        <v>25000</v>
      </c>
    </row>
    <row r="34" ht="25" customHeight="1">
      <c r="A34" s="12" t="inlineStr">
        <is>
          <t>Aug 27</t>
        </is>
      </c>
      <c r="B34" s="6" t="n">
        <v>400</v>
      </c>
      <c r="C34" s="6" t="n">
        <v>150</v>
      </c>
      <c r="D34" s="18" t="n">
        <v>0.005</v>
      </c>
      <c r="E34" s="6" t="n">
        <v>25000</v>
      </c>
    </row>
    <row r="35" ht="25" customHeight="1">
      <c r="A35" s="12" t="inlineStr">
        <is>
          <t>Sep 27</t>
        </is>
      </c>
      <c r="B35" s="6" t="n">
        <v>400</v>
      </c>
      <c r="C35" s="6" t="n">
        <v>180</v>
      </c>
      <c r="D35" s="18" t="n">
        <v>0.005</v>
      </c>
      <c r="E35" s="6" t="n">
        <v>30000</v>
      </c>
    </row>
    <row r="36" ht="25" customHeight="1">
      <c r="A36" s="12" t="inlineStr">
        <is>
          <t>Oct 27</t>
        </is>
      </c>
      <c r="B36" s="6" t="n">
        <v>400</v>
      </c>
      <c r="C36" s="6" t="n">
        <v>180</v>
      </c>
      <c r="D36" s="18" t="n">
        <v>0.005</v>
      </c>
      <c r="E36" s="6" t="n">
        <v>30000</v>
      </c>
    </row>
    <row r="37" ht="25" customHeight="1">
      <c r="A37" s="12" t="inlineStr">
        <is>
          <t>Nov 27</t>
        </is>
      </c>
      <c r="B37" s="6" t="n">
        <v>400</v>
      </c>
      <c r="C37" s="6" t="n">
        <v>200</v>
      </c>
      <c r="D37" s="18" t="n">
        <v>0.005</v>
      </c>
      <c r="E37" s="6" t="n">
        <v>30000</v>
      </c>
    </row>
    <row r="38" ht="25" customHeight="1">
      <c r="A38" s="12" t="inlineStr">
        <is>
          <t>Dec 27</t>
        </is>
      </c>
      <c r="B38" s="6" t="n">
        <v>400</v>
      </c>
      <c r="C38" s="6" t="n">
        <v>200</v>
      </c>
      <c r="D38" s="18" t="n">
        <v>0.005</v>
      </c>
      <c r="E38" s="6" t="n">
        <v>30000</v>
      </c>
    </row>
    <row r="39" ht="25" customHeight="1">
      <c r="A39" s="12" t="inlineStr">
        <is>
          <t>Jan 28</t>
        </is>
      </c>
      <c r="B39" s="6" t="n">
        <v>400</v>
      </c>
      <c r="C39" s="6" t="n">
        <v>250</v>
      </c>
      <c r="D39" s="18" t="n">
        <v>0.005</v>
      </c>
      <c r="E39" s="6" t="n">
        <v>35000</v>
      </c>
    </row>
    <row r="40" ht="25" customHeight="1">
      <c r="A40" s="12" t="inlineStr">
        <is>
          <t>Feb 28</t>
        </is>
      </c>
      <c r="B40" s="6" t="n">
        <v>400</v>
      </c>
      <c r="C40" s="6" t="n">
        <v>250</v>
      </c>
      <c r="D40" s="18" t="n">
        <v>0.005</v>
      </c>
      <c r="E40" s="6" t="n">
        <v>35000</v>
      </c>
    </row>
    <row r="41" ht="25" customHeight="1">
      <c r="A41" s="12" t="inlineStr">
        <is>
          <t>Mar 28</t>
        </is>
      </c>
      <c r="B41" s="6" t="n">
        <v>400</v>
      </c>
      <c r="C41" s="6" t="n">
        <v>250</v>
      </c>
      <c r="D41" s="18" t="n">
        <v>0.005</v>
      </c>
      <c r="E41" s="6" t="n">
        <v>35000</v>
      </c>
    </row>
    <row r="42" ht="25" customHeight="1">
      <c r="A42" s="12" t="inlineStr">
        <is>
          <t>Apr 28</t>
        </is>
      </c>
      <c r="B42" s="6" t="n">
        <v>400</v>
      </c>
      <c r="C42" s="6" t="n">
        <v>280</v>
      </c>
      <c r="D42" s="18" t="n">
        <v>0.005</v>
      </c>
      <c r="E42" s="6" t="n">
        <v>40000</v>
      </c>
    </row>
    <row r="43" ht="25" customHeight="1">
      <c r="A43" s="12" t="inlineStr">
        <is>
          <t>May 28</t>
        </is>
      </c>
      <c r="B43" s="6" t="n">
        <v>400</v>
      </c>
      <c r="C43" s="6" t="n">
        <v>280</v>
      </c>
      <c r="D43" s="18" t="n">
        <v>0.005</v>
      </c>
      <c r="E43" s="6" t="n">
        <v>40000</v>
      </c>
    </row>
    <row r="44" ht="25" customHeight="1">
      <c r="A44" s="12" t="inlineStr">
        <is>
          <t>Jun 28</t>
        </is>
      </c>
      <c r="B44" s="6" t="n">
        <v>400</v>
      </c>
      <c r="C44" s="6" t="n">
        <v>280</v>
      </c>
      <c r="D44" s="18" t="n">
        <v>0.005</v>
      </c>
      <c r="E44" s="6" t="n">
        <v>50000</v>
      </c>
    </row>
    <row r="45" ht="25" customHeight="1">
      <c r="A45" s="12" t="inlineStr">
        <is>
          <t>Jul 28</t>
        </is>
      </c>
      <c r="B45" s="6" t="n">
        <v>400</v>
      </c>
      <c r="C45" s="6" t="n">
        <v>280</v>
      </c>
      <c r="D45" s="18" t="n">
        <v>0.005</v>
      </c>
      <c r="E45" s="6" t="n">
        <v>50000</v>
      </c>
    </row>
    <row r="46" ht="25" customHeight="1">
      <c r="A46" s="12" t="inlineStr">
        <is>
          <t>Aug 28</t>
        </is>
      </c>
      <c r="B46" s="6" t="n">
        <v>400</v>
      </c>
      <c r="C46" s="6" t="n">
        <v>280</v>
      </c>
      <c r="D46" s="18" t="n">
        <v>0.005</v>
      </c>
      <c r="E46" s="6" t="n">
        <v>55000</v>
      </c>
    </row>
    <row r="47" ht="25" customHeight="1">
      <c r="A47" s="12" t="inlineStr">
        <is>
          <t>Sep 28</t>
        </is>
      </c>
      <c r="B47" s="6" t="n">
        <v>400</v>
      </c>
      <c r="C47" s="6" t="n">
        <v>280</v>
      </c>
      <c r="D47" s="18" t="n">
        <v>0.005</v>
      </c>
      <c r="E47" s="6" t="n">
        <v>60000</v>
      </c>
    </row>
    <row r="48" ht="25" customHeight="1">
      <c r="A48" s="12" t="inlineStr">
        <is>
          <t>Oct 28</t>
        </is>
      </c>
      <c r="B48" s="6" t="n">
        <v>400</v>
      </c>
      <c r="C48" s="6" t="n">
        <v>280</v>
      </c>
      <c r="D48" s="18" t="n">
        <v>0.005</v>
      </c>
      <c r="E48" s="6" t="n">
        <v>60000</v>
      </c>
    </row>
    <row r="49" ht="25" customHeight="1">
      <c r="A49" s="12" t="inlineStr">
        <is>
          <t>Nov 28</t>
        </is>
      </c>
      <c r="B49" s="6" t="n">
        <v>400</v>
      </c>
      <c r="C49" s="6" t="n">
        <v>280</v>
      </c>
      <c r="D49" s="18" t="n">
        <v>0.005</v>
      </c>
      <c r="E49" s="6" t="n">
        <v>60000</v>
      </c>
    </row>
    <row r="50" ht="25" customHeight="1">
      <c r="A50" s="12" t="inlineStr">
        <is>
          <t>Dec 28</t>
        </is>
      </c>
      <c r="B50" s="6" t="n">
        <v>400</v>
      </c>
      <c r="C50" s="6" t="n">
        <v>280</v>
      </c>
      <c r="D50" s="18" t="n">
        <v>0.005</v>
      </c>
      <c r="E50" s="6" t="n">
        <v>80000</v>
      </c>
    </row>
    <row r="51" ht="25" customHeight="1">
      <c r="A51" s="12" t="inlineStr">
        <is>
          <t>Jan 29</t>
        </is>
      </c>
      <c r="B51" s="6" t="n">
        <v>400</v>
      </c>
      <c r="C51" s="6" t="n">
        <v>280</v>
      </c>
      <c r="D51" s="18" t="n">
        <v>0.005</v>
      </c>
      <c r="E51" s="6" t="n">
        <v>85000</v>
      </c>
    </row>
    <row r="52" ht="25" customHeight="1">
      <c r="A52" s="12" t="inlineStr">
        <is>
          <t>Feb 29</t>
        </is>
      </c>
      <c r="B52" s="6" t="n">
        <v>400</v>
      </c>
      <c r="C52" s="6" t="n">
        <v>280</v>
      </c>
      <c r="D52" s="18" t="n">
        <v>0.005</v>
      </c>
      <c r="E52" s="6" t="n">
        <v>85000</v>
      </c>
    </row>
    <row r="53" ht="25" customHeight="1">
      <c r="A53" s="12" t="inlineStr">
        <is>
          <t>Mar 29</t>
        </is>
      </c>
      <c r="B53" s="6" t="n">
        <v>400</v>
      </c>
      <c r="C53" s="6" t="n">
        <v>280</v>
      </c>
      <c r="D53" s="18" t="n">
        <v>0.005</v>
      </c>
      <c r="E53" s="6" t="n">
        <v>90000</v>
      </c>
    </row>
    <row r="54" ht="25" customHeight="1">
      <c r="A54" s="12" t="inlineStr">
        <is>
          <t>Apr 29</t>
        </is>
      </c>
      <c r="B54" s="6" t="n">
        <v>400</v>
      </c>
      <c r="C54" s="6" t="n">
        <v>280</v>
      </c>
      <c r="D54" s="18" t="n">
        <v>0.005</v>
      </c>
      <c r="E54" s="6" t="n">
        <v>90000</v>
      </c>
    </row>
    <row r="55" ht="25" customHeight="1">
      <c r="A55" s="12" t="inlineStr">
        <is>
          <t>May 29</t>
        </is>
      </c>
      <c r="B55" s="6" t="n">
        <v>400</v>
      </c>
      <c r="C55" s="6" t="n">
        <v>280</v>
      </c>
      <c r="D55" s="18" t="n">
        <v>0.005</v>
      </c>
      <c r="E55" s="6" t="n">
        <v>90000</v>
      </c>
    </row>
    <row r="56" ht="25" customHeight="1"/>
    <row r="57" ht="25" customHeight="1"/>
    <row r="58" ht="25" customHeight="1"/>
    <row r="59" ht="29" customHeight="1">
      <c r="A59" s="7" t="inlineStr">
        <is>
          <t>Expense Assumptions</t>
        </is>
      </c>
      <c r="B59" s="14" t="inlineStr">
        <is>
          <t>Catalog of expense lines and how each line is calculated</t>
        </is>
      </c>
      <c r="C59" s="14" t="n"/>
      <c r="D59" s="14" t="n"/>
      <c r="E59" s="14" t="n"/>
      <c r="F59" s="14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</row>
    <row r="60" ht="29" customHeight="1">
      <c r="A60" s="3" t="inlineStr">
        <is>
          <t>Line ID</t>
        </is>
      </c>
      <c r="B60" s="16" t="inlineStr">
        <is>
          <t>Category</t>
        </is>
      </c>
      <c r="C60" s="16" t="inlineStr">
        <is>
          <t>Expense Line</t>
        </is>
      </c>
      <c r="D60" s="16" t="inlineStr">
        <is>
          <t>Type</t>
        </is>
      </c>
      <c r="E60" s="16" t="inlineStr">
        <is>
          <t>Base / Unit</t>
        </is>
      </c>
      <c r="F60" s="16" t="inlineStr">
        <is>
          <t>Notes</t>
        </is>
      </c>
    </row>
    <row r="61" ht="25" customHeight="1">
      <c r="A61" s="12" t="inlineStr">
        <is>
          <t>rnd.achela</t>
        </is>
      </c>
      <c r="B61" s="13" t="inlineStr">
        <is>
          <t>Research &amp; Development</t>
        </is>
      </c>
      <c r="C61" s="13" t="inlineStr">
        <is>
          <t>Achela developer</t>
        </is>
      </c>
      <c r="D61" s="13" t="inlineStr">
        <is>
          <t>fixedUsd</t>
        </is>
      </c>
      <c r="E61" s="6" t="n">
        <v>9333</v>
      </c>
      <c r="F61" s="13" t="inlineStr">
        <is>
          <t>Fixed monthly USD amount.</t>
        </is>
      </c>
    </row>
    <row r="62" ht="25" customHeight="1">
      <c r="A62" s="12" t="inlineStr">
        <is>
          <t>rnd.it</t>
        </is>
      </c>
      <c r="B62" s="13" t="inlineStr">
        <is>
          <t>Research &amp; Development</t>
        </is>
      </c>
      <c r="C62" s="13" t="inlineStr">
        <is>
          <t>IT / servers</t>
        </is>
      </c>
      <c r="D62" s="13" t="inlineStr">
        <is>
          <t>fixedUsd</t>
        </is>
      </c>
      <c r="E62" s="6" t="n">
        <v>2000</v>
      </c>
      <c r="F62" s="13" t="inlineStr">
        <is>
          <t>Fixed monthly USD amount.</t>
        </is>
      </c>
    </row>
    <row r="63" ht="25" customHeight="1">
      <c r="A63" s="12" t="inlineStr">
        <is>
          <t>rnd.ai</t>
        </is>
      </c>
      <c r="B63" s="13" t="inlineStr">
        <is>
          <t>Research &amp; Development</t>
        </is>
      </c>
      <c r="C63" s="13" t="inlineStr">
        <is>
          <t>AI tools</t>
        </is>
      </c>
      <c r="D63" s="13" t="inlineStr">
        <is>
          <t>fixedUsd</t>
        </is>
      </c>
      <c r="E63" s="6" t="n">
        <v>2000</v>
      </c>
      <c r="F63" s="13" t="inlineStr">
        <is>
          <t>Fixed monthly USD amount.</t>
        </is>
      </c>
    </row>
    <row r="64" ht="25" customHeight="1">
      <c r="A64" s="12" t="inlineStr">
        <is>
          <t>ms.campaigns</t>
        </is>
      </c>
      <c r="B64" s="13" t="inlineStr">
        <is>
          <t>Marketing &amp; Sales</t>
        </is>
      </c>
      <c r="C64" s="13" t="inlineStr">
        <is>
          <t>Campaigns</t>
        </is>
      </c>
      <c r="D64" s="13" t="inlineStr">
        <is>
          <t>linkedCampaigns</t>
        </is>
      </c>
      <c r="E64" s="6" t="n">
        <v>0</v>
      </c>
      <c r="F64" s="13" t="inlineStr">
        <is>
          <t>Mirrors Monthly Growth Assumptions: Campaign Spend.</t>
        </is>
      </c>
    </row>
    <row r="65" ht="25" customHeight="1">
      <c r="A65" s="12" t="inlineStr">
        <is>
          <t>ms.campaignMgr</t>
        </is>
      </c>
      <c r="B65" s="13" t="inlineStr">
        <is>
          <t>Marketing &amp; Sales</t>
        </is>
      </c>
      <c r="C65" s="13" t="inlineStr">
        <is>
          <t>Campaign manager</t>
        </is>
      </c>
      <c r="D65" s="13" t="inlineStr">
        <is>
          <t>fixedUsd</t>
        </is>
      </c>
      <c r="E65" s="6" t="n">
        <v>1500</v>
      </c>
      <c r="F65" s="13" t="inlineStr">
        <is>
          <t>Fixed monthly USD amount.</t>
        </is>
      </c>
    </row>
    <row r="66" ht="25" customHeight="1">
      <c r="A66" s="12" t="inlineStr">
        <is>
          <t>ms.content</t>
        </is>
      </c>
      <c r="B66" s="13" t="inlineStr">
        <is>
          <t>Marketing &amp; Sales</t>
        </is>
      </c>
      <c r="C66" s="13" t="inlineStr">
        <is>
          <t>Content creation</t>
        </is>
      </c>
      <c r="D66" s="13" t="inlineStr">
        <is>
          <t>fixedUsd</t>
        </is>
      </c>
      <c r="E66" s="6" t="n">
        <v>1500</v>
      </c>
      <c r="F66" s="13" t="inlineStr">
        <is>
          <t>Fixed monthly USD amount.</t>
        </is>
      </c>
    </row>
    <row r="67" ht="25" customHeight="1">
      <c r="A67" s="12" t="inlineStr">
        <is>
          <t>ms.tripleBundle</t>
        </is>
      </c>
      <c r="B67" s="13" t="inlineStr">
        <is>
          <t>Marketing &amp; Sales</t>
        </is>
      </c>
      <c r="C67" s="13" t="inlineStr">
        <is>
          <t>Triple Bundle equipment</t>
        </is>
      </c>
      <c r="D67" s="13" t="inlineStr">
        <is>
          <t>calculatedTripleBundle</t>
        </is>
      </c>
      <c r="E67" s="6" t="n">
        <v>70</v>
      </c>
      <c r="F67" s="13" t="inlineStr">
        <is>
          <t>Unit cost multiplied by New Subscribers.</t>
        </is>
      </c>
    </row>
    <row r="68" ht="25" customHeight="1">
      <c r="A68" s="12" t="inlineStr">
        <is>
          <t>ops.support</t>
        </is>
      </c>
      <c r="B68" s="13" t="inlineStr">
        <is>
          <t>Operations</t>
        </is>
      </c>
      <c r="C68" s="13" t="inlineStr">
        <is>
          <t>Customer support - Yaar</t>
        </is>
      </c>
      <c r="D68" s="13" t="inlineStr">
        <is>
          <t>fixedUsd</t>
        </is>
      </c>
      <c r="E68" s="6" t="n">
        <v>4000</v>
      </c>
      <c r="F68" s="13" t="inlineStr">
        <is>
          <t>Fixed monthly USD amount.</t>
        </is>
      </c>
    </row>
    <row r="69" ht="25" customHeight="1">
      <c r="A69" s="12" t="inlineStr">
        <is>
          <t>ops.installations</t>
        </is>
      </c>
      <c r="B69" s="13" t="inlineStr">
        <is>
          <t>Operations</t>
        </is>
      </c>
      <c r="C69" s="13" t="inlineStr">
        <is>
          <t>Online installation manager</t>
        </is>
      </c>
      <c r="D69" s="13" t="inlineStr">
        <is>
          <t>fixedUsd</t>
        </is>
      </c>
      <c r="E69" s="6" t="n">
        <v>3333</v>
      </c>
      <c r="F69" s="13" t="inlineStr">
        <is>
          <t>Fixed monthly USD amount.</t>
        </is>
      </c>
    </row>
    <row r="70" ht="25" customHeight="1">
      <c r="A70" s="12" t="inlineStr">
        <is>
          <t>mgmt.ceo</t>
        </is>
      </c>
      <c r="B70" s="13" t="inlineStr">
        <is>
          <t>Management</t>
        </is>
      </c>
      <c r="C70" s="13" t="inlineStr">
        <is>
          <t>CEO - Maor</t>
        </is>
      </c>
      <c r="D70" s="13" t="inlineStr">
        <is>
          <t>fixedUsd</t>
        </is>
      </c>
      <c r="E70" s="6" t="n">
        <v>5000</v>
      </c>
      <c r="F70" s="13" t="inlineStr">
        <is>
          <t>Fixed monthly USD amount.</t>
        </is>
      </c>
    </row>
    <row r="71" ht="25" customHeight="1">
      <c r="A71" s="12" t="inlineStr">
        <is>
          <t>mgmt.coo</t>
        </is>
      </c>
      <c r="B71" s="13" t="inlineStr">
        <is>
          <t>Management</t>
        </is>
      </c>
      <c r="C71" s="13" t="inlineStr">
        <is>
          <t>COO - Elad</t>
        </is>
      </c>
      <c r="D71" s="13" t="inlineStr">
        <is>
          <t>fixedUsd</t>
        </is>
      </c>
      <c r="E71" s="6" t="n">
        <v>5000</v>
      </c>
      <c r="F71" s="13" t="inlineStr">
        <is>
          <t>Fixed monthly USD amount.</t>
        </is>
      </c>
    </row>
    <row r="72" ht="25" customHeight="1">
      <c r="A72" s="12" t="inlineStr">
        <is>
          <t>admin.bookkeeping</t>
        </is>
      </c>
      <c r="B72" s="13" t="inlineStr">
        <is>
          <t>Accounting / Admin</t>
        </is>
      </c>
      <c r="C72" s="13" t="inlineStr">
        <is>
          <t>Bookkeeping</t>
        </is>
      </c>
      <c r="D72" s="13" t="inlineStr">
        <is>
          <t>fixedUsd</t>
        </is>
      </c>
      <c r="E72" s="6" t="n">
        <v>1500</v>
      </c>
      <c r="F72" s="13" t="inlineStr">
        <is>
          <t>Fixed monthly USD amount.</t>
        </is>
      </c>
    </row>
    <row r="73" ht="25" customHeight="1">
      <c r="A73" s="12" t="inlineStr">
        <is>
          <t>admin.vat</t>
        </is>
      </c>
      <c r="B73" s="13" t="inlineStr">
        <is>
          <t>Accounting / Admin</t>
        </is>
      </c>
      <c r="C73" s="13" t="inlineStr">
        <is>
          <t>VAT Israel</t>
        </is>
      </c>
      <c r="D73" s="13" t="inlineStr">
        <is>
          <t>calculatedVat</t>
        </is>
      </c>
      <c r="E73" s="18" t="n">
        <v>0.1</v>
      </c>
      <c r="F73" s="13" t="inlineStr">
        <is>
          <t>Rate multiplied by Israeli Customers and ARPU.</t>
        </is>
      </c>
    </row>
    <row r="74" ht="25" customHeight="1">
      <c r="A74" s="12" t="inlineStr">
        <is>
          <t>admin.misc</t>
        </is>
      </c>
      <c r="B74" s="13" t="inlineStr">
        <is>
          <t>Accounting / Admin</t>
        </is>
      </c>
      <c r="C74" s="13" t="inlineStr">
        <is>
          <t>Miscellaneous / equipment</t>
        </is>
      </c>
      <c r="D74" s="13" t="inlineStr">
        <is>
          <t>fixedUsd</t>
        </is>
      </c>
      <c r="E74" s="6" t="n">
        <v>1000</v>
      </c>
      <c r="F74" s="13" t="inlineStr">
        <is>
          <t>Fixed monthly USD amount.</t>
        </is>
      </c>
    </row>
    <row r="75" ht="25" customHeight="1">
      <c r="A75" s="12" t="inlineStr">
        <is>
          <t>custom.mp2pupvz.ydkan</t>
        </is>
      </c>
      <c r="B75" s="13" t="inlineStr">
        <is>
          <t>Operations</t>
        </is>
      </c>
      <c r="C75" s="13" t="inlineStr">
        <is>
          <t>Costumer Sucsess</t>
        </is>
      </c>
      <c r="D75" s="13" t="inlineStr">
        <is>
          <t>fixedUsd</t>
        </is>
      </c>
      <c r="E75" s="6" t="n">
        <v>3500</v>
      </c>
      <c r="F75" s="13" t="inlineStr">
        <is>
          <t>Fixed monthly USD amount.</t>
        </is>
      </c>
    </row>
    <row r="76" ht="25" customHeight="1">
      <c r="A76" s="12" t="inlineStr">
        <is>
          <t>custom.mp2pxruh.i0erl</t>
        </is>
      </c>
      <c r="B76" s="13" t="inlineStr">
        <is>
          <t>Marketing &amp; Sales</t>
        </is>
      </c>
      <c r="C76" s="13" t="inlineStr">
        <is>
          <t>Leades Manager</t>
        </is>
      </c>
      <c r="D76" s="13" t="inlineStr">
        <is>
          <t>fixedUsd</t>
        </is>
      </c>
      <c r="E76" s="6" t="n">
        <v>4000</v>
      </c>
      <c r="F76" s="13" t="inlineStr">
        <is>
          <t>Fixed monthly USD amount.</t>
        </is>
      </c>
    </row>
    <row r="77" ht="25" customHeight="1"/>
    <row r="78" ht="25" customHeight="1"/>
    <row r="79" ht="25" customHeight="1"/>
    <row r="80" ht="29" customHeight="1">
      <c r="A80" s="7" t="inlineStr">
        <is>
          <t>Expense Monthly Values</t>
        </is>
      </c>
      <c r="B80" s="14" t="inlineStr">
        <is>
          <t>Monthly editable expense matrix used by the Forecast sheet</t>
        </is>
      </c>
      <c r="C80" s="14" t="n"/>
      <c r="D80" s="14" t="n"/>
      <c r="E80" s="14" t="n"/>
      <c r="F80" s="14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</row>
    <row r="81" ht="29" customHeight="1">
      <c r="A81" s="3" t="inlineStr">
        <is>
          <t>Line ID</t>
        </is>
      </c>
      <c r="B81" s="16" t="inlineStr">
        <is>
          <t>Expense Line</t>
        </is>
      </c>
      <c r="C81" s="16" t="inlineStr">
        <is>
          <t>Jun 26</t>
        </is>
      </c>
      <c r="D81" s="16" t="inlineStr">
        <is>
          <t>Jul 26</t>
        </is>
      </c>
      <c r="E81" s="16" t="inlineStr">
        <is>
          <t>Aug 26</t>
        </is>
      </c>
      <c r="F81" s="16" t="inlineStr">
        <is>
          <t>Sep 26</t>
        </is>
      </c>
      <c r="G81" s="19" t="inlineStr">
        <is>
          <t>Oct 26</t>
        </is>
      </c>
      <c r="H81" s="19" t="inlineStr">
        <is>
          <t>Nov 26</t>
        </is>
      </c>
      <c r="I81" s="19" t="inlineStr">
        <is>
          <t>Dec 26</t>
        </is>
      </c>
      <c r="J81" s="19" t="inlineStr">
        <is>
          <t>Jan 27</t>
        </is>
      </c>
      <c r="K81" s="19" t="inlineStr">
        <is>
          <t>Feb 27</t>
        </is>
      </c>
      <c r="L81" s="19" t="inlineStr">
        <is>
          <t>Mar 27</t>
        </is>
      </c>
      <c r="M81" s="19" t="inlineStr">
        <is>
          <t>Apr 27</t>
        </is>
      </c>
      <c r="N81" s="19" t="inlineStr">
        <is>
          <t>May 27</t>
        </is>
      </c>
      <c r="O81" s="19" t="inlineStr">
        <is>
          <t>Jun 27</t>
        </is>
      </c>
      <c r="P81" s="19" t="inlineStr">
        <is>
          <t>Jul 27</t>
        </is>
      </c>
      <c r="Q81" s="19" t="inlineStr">
        <is>
          <t>Aug 27</t>
        </is>
      </c>
      <c r="R81" s="19" t="inlineStr">
        <is>
          <t>Sep 27</t>
        </is>
      </c>
      <c r="S81" s="19" t="inlineStr">
        <is>
          <t>Oct 27</t>
        </is>
      </c>
      <c r="T81" s="19" t="inlineStr">
        <is>
          <t>Nov 27</t>
        </is>
      </c>
      <c r="U81" s="19" t="inlineStr">
        <is>
          <t>Dec 27</t>
        </is>
      </c>
      <c r="V81" s="19" t="inlineStr">
        <is>
          <t>Jan 28</t>
        </is>
      </c>
      <c r="W81" s="19" t="inlineStr">
        <is>
          <t>Feb 28</t>
        </is>
      </c>
      <c r="X81" s="19" t="inlineStr">
        <is>
          <t>Mar 28</t>
        </is>
      </c>
      <c r="Y81" s="19" t="inlineStr">
        <is>
          <t>Apr 28</t>
        </is>
      </c>
      <c r="Z81" s="19" t="inlineStr">
        <is>
          <t>May 28</t>
        </is>
      </c>
      <c r="AA81" s="19" t="inlineStr">
        <is>
          <t>Jun 28</t>
        </is>
      </c>
      <c r="AB81" s="19" t="inlineStr">
        <is>
          <t>Jul 28</t>
        </is>
      </c>
      <c r="AC81" s="19" t="inlineStr">
        <is>
          <t>Aug 28</t>
        </is>
      </c>
      <c r="AD81" s="19" t="inlineStr">
        <is>
          <t>Sep 28</t>
        </is>
      </c>
      <c r="AE81" s="19" t="inlineStr">
        <is>
          <t>Oct 28</t>
        </is>
      </c>
      <c r="AF81" s="19" t="inlineStr">
        <is>
          <t>Nov 28</t>
        </is>
      </c>
      <c r="AG81" s="19" t="inlineStr">
        <is>
          <t>Dec 28</t>
        </is>
      </c>
      <c r="AH81" s="19" t="inlineStr">
        <is>
          <t>Jan 29</t>
        </is>
      </c>
      <c r="AI81" s="19" t="inlineStr">
        <is>
          <t>Feb 29</t>
        </is>
      </c>
      <c r="AJ81" s="19" t="inlineStr">
        <is>
          <t>Mar 29</t>
        </is>
      </c>
      <c r="AK81" s="19" t="inlineStr">
        <is>
          <t>Apr 29</t>
        </is>
      </c>
      <c r="AL81" s="19" t="inlineStr">
        <is>
          <t>May 29</t>
        </is>
      </c>
    </row>
    <row r="82" ht="25" customHeight="1">
      <c r="A82" s="12" t="inlineStr">
        <is>
          <t>rnd.achela</t>
        </is>
      </c>
      <c r="B82" s="13" t="inlineStr">
        <is>
          <t>Achela developer</t>
        </is>
      </c>
      <c r="C82" s="6" t="n">
        <v>9000</v>
      </c>
      <c r="D82" s="6" t="n">
        <v>9000</v>
      </c>
      <c r="E82" s="6" t="n">
        <v>9000</v>
      </c>
      <c r="F82" s="6" t="n">
        <v>9000</v>
      </c>
      <c r="G82" s="6" t="n">
        <v>9000</v>
      </c>
      <c r="H82" s="6" t="n">
        <v>9000</v>
      </c>
      <c r="I82" s="6" t="n">
        <v>9333</v>
      </c>
      <c r="J82" s="6" t="n">
        <v>9333</v>
      </c>
      <c r="K82" s="6" t="n">
        <v>9333</v>
      </c>
      <c r="L82" s="6" t="n">
        <v>9333</v>
      </c>
      <c r="M82" s="6" t="n">
        <v>9333</v>
      </c>
      <c r="N82" s="6" t="n">
        <v>9333</v>
      </c>
      <c r="O82" s="6" t="n">
        <v>9333</v>
      </c>
      <c r="P82" s="6" t="n">
        <v>9333</v>
      </c>
      <c r="Q82" s="6" t="n">
        <v>9333</v>
      </c>
      <c r="R82" s="6" t="n">
        <v>9333</v>
      </c>
      <c r="S82" s="6" t="n">
        <v>9333</v>
      </c>
      <c r="T82" s="6" t="n">
        <v>9333</v>
      </c>
      <c r="U82" s="6" t="n">
        <v>12000</v>
      </c>
      <c r="V82" s="6" t="n">
        <v>12000</v>
      </c>
      <c r="W82" s="6" t="n">
        <v>12000</v>
      </c>
      <c r="X82" s="6" t="n">
        <v>12000</v>
      </c>
      <c r="Y82" s="6" t="n">
        <v>12000</v>
      </c>
      <c r="Z82" s="6" t="n">
        <v>12000</v>
      </c>
      <c r="AA82" s="6" t="n">
        <v>12000</v>
      </c>
      <c r="AB82" s="6" t="n">
        <v>12000</v>
      </c>
      <c r="AC82" s="6" t="n">
        <v>12000</v>
      </c>
      <c r="AD82" s="6" t="n">
        <v>12000</v>
      </c>
      <c r="AE82" s="6" t="n">
        <v>12000</v>
      </c>
      <c r="AF82" s="6" t="n">
        <v>12000</v>
      </c>
      <c r="AG82" s="6" t="n">
        <v>14000</v>
      </c>
      <c r="AH82" s="6" t="n">
        <v>14000</v>
      </c>
      <c r="AI82" s="6" t="n">
        <v>14000</v>
      </c>
      <c r="AJ82" s="6" t="n">
        <v>14000</v>
      </c>
      <c r="AK82" s="6" t="n">
        <v>14000</v>
      </c>
      <c r="AL82" s="6" t="n">
        <v>14000</v>
      </c>
    </row>
    <row r="83" ht="25" customHeight="1">
      <c r="A83" s="12" t="inlineStr">
        <is>
          <t>rnd.it</t>
        </is>
      </c>
      <c r="B83" s="13" t="inlineStr">
        <is>
          <t>IT / servers</t>
        </is>
      </c>
      <c r="C83" s="6" t="n">
        <v>2000</v>
      </c>
      <c r="D83" s="6" t="n">
        <v>2000</v>
      </c>
      <c r="E83" s="6" t="n">
        <v>2000</v>
      </c>
      <c r="F83" s="6" t="n">
        <v>2000</v>
      </c>
      <c r="G83" s="6" t="n">
        <v>2000</v>
      </c>
      <c r="H83" s="6" t="n">
        <v>2000</v>
      </c>
      <c r="I83" s="6" t="n">
        <v>2000</v>
      </c>
      <c r="J83" s="6" t="n">
        <v>2000</v>
      </c>
      <c r="K83" s="6" t="n">
        <v>2000</v>
      </c>
      <c r="L83" s="6" t="n">
        <v>2000</v>
      </c>
      <c r="M83" s="6" t="n">
        <v>2000</v>
      </c>
      <c r="N83" s="6" t="n">
        <v>2000</v>
      </c>
      <c r="O83" s="6" t="n">
        <v>2000</v>
      </c>
      <c r="P83" s="6" t="n">
        <v>2000</v>
      </c>
      <c r="Q83" s="6" t="n">
        <v>2000</v>
      </c>
      <c r="R83" s="6" t="n">
        <v>2000</v>
      </c>
      <c r="S83" s="6" t="n">
        <v>2000</v>
      </c>
      <c r="T83" s="6" t="n">
        <v>2000</v>
      </c>
      <c r="U83" s="6" t="n">
        <v>2000</v>
      </c>
      <c r="V83" s="6" t="n">
        <v>2000</v>
      </c>
      <c r="W83" s="6" t="n">
        <v>2000</v>
      </c>
      <c r="X83" s="6" t="n">
        <v>2000</v>
      </c>
      <c r="Y83" s="6" t="n">
        <v>2000</v>
      </c>
      <c r="Z83" s="6" t="n">
        <v>2000</v>
      </c>
      <c r="AA83" s="6" t="n">
        <v>2000</v>
      </c>
      <c r="AB83" s="6" t="n">
        <v>2000</v>
      </c>
      <c r="AC83" s="6" t="n">
        <v>2000</v>
      </c>
      <c r="AD83" s="6" t="n">
        <v>2000</v>
      </c>
      <c r="AE83" s="6" t="n">
        <v>2000</v>
      </c>
      <c r="AF83" s="6" t="n">
        <v>2000</v>
      </c>
      <c r="AG83" s="6" t="n">
        <v>2000</v>
      </c>
      <c r="AH83" s="6" t="n">
        <v>2000</v>
      </c>
      <c r="AI83" s="6" t="n">
        <v>2000</v>
      </c>
      <c r="AJ83" s="6" t="n">
        <v>2000</v>
      </c>
      <c r="AK83" s="6" t="n">
        <v>2000</v>
      </c>
      <c r="AL83" s="6" t="n">
        <v>2000</v>
      </c>
    </row>
    <row r="84" ht="25" customHeight="1">
      <c r="A84" s="12" t="inlineStr">
        <is>
          <t>rnd.ai</t>
        </is>
      </c>
      <c r="B84" s="13" t="inlineStr">
        <is>
          <t>AI tools</t>
        </is>
      </c>
      <c r="C84" s="6" t="n">
        <v>2000</v>
      </c>
      <c r="D84" s="6" t="n">
        <v>2000</v>
      </c>
      <c r="E84" s="6" t="n">
        <v>2000</v>
      </c>
      <c r="F84" s="6" t="n">
        <v>2000</v>
      </c>
      <c r="G84" s="6" t="n">
        <v>2000</v>
      </c>
      <c r="H84" s="6" t="n">
        <v>2000</v>
      </c>
      <c r="I84" s="6" t="n">
        <v>2000</v>
      </c>
      <c r="J84" s="6" t="n">
        <v>2000</v>
      </c>
      <c r="K84" s="6" t="n">
        <v>2000</v>
      </c>
      <c r="L84" s="6" t="n">
        <v>2000</v>
      </c>
      <c r="M84" s="6" t="n">
        <v>2000</v>
      </c>
      <c r="N84" s="6" t="n">
        <v>2000</v>
      </c>
      <c r="O84" s="6" t="n">
        <v>2000</v>
      </c>
      <c r="P84" s="6" t="n">
        <v>2000</v>
      </c>
      <c r="Q84" s="6" t="n">
        <v>2000</v>
      </c>
      <c r="R84" s="6" t="n">
        <v>2000</v>
      </c>
      <c r="S84" s="6" t="n">
        <v>2000</v>
      </c>
      <c r="T84" s="6" t="n">
        <v>2000</v>
      </c>
      <c r="U84" s="6" t="n">
        <v>2000</v>
      </c>
      <c r="V84" s="6" t="n">
        <v>2000</v>
      </c>
      <c r="W84" s="6" t="n">
        <v>2000</v>
      </c>
      <c r="X84" s="6" t="n">
        <v>2000</v>
      </c>
      <c r="Y84" s="6" t="n">
        <v>2000</v>
      </c>
      <c r="Z84" s="6" t="n">
        <v>2000</v>
      </c>
      <c r="AA84" s="6" t="n">
        <v>2000</v>
      </c>
      <c r="AB84" s="6" t="n">
        <v>2000</v>
      </c>
      <c r="AC84" s="6" t="n">
        <v>2000</v>
      </c>
      <c r="AD84" s="6" t="n">
        <v>2000</v>
      </c>
      <c r="AE84" s="6" t="n">
        <v>2000</v>
      </c>
      <c r="AF84" s="6" t="n">
        <v>2000</v>
      </c>
      <c r="AG84" s="6" t="n">
        <v>2000</v>
      </c>
      <c r="AH84" s="6" t="n">
        <v>2000</v>
      </c>
      <c r="AI84" s="6" t="n">
        <v>2000</v>
      </c>
      <c r="AJ84" s="6" t="n">
        <v>2000</v>
      </c>
      <c r="AK84" s="6" t="n">
        <v>2000</v>
      </c>
      <c r="AL84" s="6" t="n">
        <v>2000</v>
      </c>
    </row>
    <row r="85" ht="25" customHeight="1">
      <c r="A85" s="12" t="inlineStr">
        <is>
          <t>ms.campaigns</t>
        </is>
      </c>
      <c r="B85" s="13" t="inlineStr">
        <is>
          <t>Campaigns</t>
        </is>
      </c>
      <c r="C85" s="6">
        <f>E20</f>
        <v/>
      </c>
      <c r="D85" s="6">
        <f>E21</f>
        <v/>
      </c>
      <c r="E85" s="6">
        <f>E22</f>
        <v/>
      </c>
      <c r="F85" s="6">
        <f>E23</f>
        <v/>
      </c>
      <c r="G85" s="6">
        <f>E24</f>
        <v/>
      </c>
      <c r="H85" s="6">
        <f>E25</f>
        <v/>
      </c>
      <c r="I85" s="6">
        <f>E26</f>
        <v/>
      </c>
      <c r="J85" s="6">
        <f>E27</f>
        <v/>
      </c>
      <c r="K85" s="6">
        <f>E28</f>
        <v/>
      </c>
      <c r="L85" s="6">
        <f>E29</f>
        <v/>
      </c>
      <c r="M85" s="6">
        <f>E30</f>
        <v/>
      </c>
      <c r="N85" s="6">
        <f>E31</f>
        <v/>
      </c>
      <c r="O85" s="6">
        <f>E32</f>
        <v/>
      </c>
      <c r="P85" s="6">
        <f>E33</f>
        <v/>
      </c>
      <c r="Q85" s="6">
        <f>E34</f>
        <v/>
      </c>
      <c r="R85" s="6">
        <f>E35</f>
        <v/>
      </c>
      <c r="S85" s="6">
        <f>E36</f>
        <v/>
      </c>
      <c r="T85" s="6">
        <f>E37</f>
        <v/>
      </c>
      <c r="U85" s="6">
        <f>E38</f>
        <v/>
      </c>
      <c r="V85" s="6">
        <f>E39</f>
        <v/>
      </c>
      <c r="W85" s="6">
        <f>E40</f>
        <v/>
      </c>
      <c r="X85" s="6">
        <f>E41</f>
        <v/>
      </c>
      <c r="Y85" s="6">
        <f>E42</f>
        <v/>
      </c>
      <c r="Z85" s="6">
        <f>E43</f>
        <v/>
      </c>
      <c r="AA85" s="6">
        <f>E44</f>
        <v/>
      </c>
      <c r="AB85" s="6">
        <f>E45</f>
        <v/>
      </c>
      <c r="AC85" s="6">
        <f>E46</f>
        <v/>
      </c>
      <c r="AD85" s="6">
        <f>E47</f>
        <v/>
      </c>
      <c r="AE85" s="6">
        <f>E48</f>
        <v/>
      </c>
      <c r="AF85" s="6">
        <f>E49</f>
        <v/>
      </c>
      <c r="AG85" s="6">
        <f>E50</f>
        <v/>
      </c>
      <c r="AH85" s="6">
        <f>E51</f>
        <v/>
      </c>
      <c r="AI85" s="6">
        <f>E52</f>
        <v/>
      </c>
      <c r="AJ85" s="6">
        <f>E53</f>
        <v/>
      </c>
      <c r="AK85" s="6">
        <f>E54</f>
        <v/>
      </c>
      <c r="AL85" s="6">
        <f>E55</f>
        <v/>
      </c>
    </row>
    <row r="86" ht="25" customHeight="1">
      <c r="A86" s="12" t="inlineStr">
        <is>
          <t>ms.campaignMgr</t>
        </is>
      </c>
      <c r="B86" s="13" t="inlineStr">
        <is>
          <t>Campaign manager</t>
        </is>
      </c>
      <c r="C86" s="6" t="n">
        <v>1500</v>
      </c>
      <c r="D86" s="6" t="n">
        <v>1500</v>
      </c>
      <c r="E86" s="6" t="n">
        <v>1500</v>
      </c>
      <c r="F86" s="6" t="n">
        <v>1500</v>
      </c>
      <c r="G86" s="6" t="n">
        <v>1500</v>
      </c>
      <c r="H86" s="6" t="n">
        <v>1500</v>
      </c>
      <c r="I86" s="6" t="n">
        <v>1500</v>
      </c>
      <c r="J86" s="6" t="n">
        <v>1500</v>
      </c>
      <c r="K86" s="6" t="n">
        <v>1500</v>
      </c>
      <c r="L86" s="6" t="n">
        <v>1500</v>
      </c>
      <c r="M86" s="6" t="n">
        <v>1500</v>
      </c>
      <c r="N86" s="6" t="n">
        <v>1500</v>
      </c>
      <c r="O86" s="6" t="n">
        <v>1500</v>
      </c>
      <c r="P86" s="6" t="n">
        <v>1500</v>
      </c>
      <c r="Q86" s="6" t="n">
        <v>1500</v>
      </c>
      <c r="R86" s="6" t="n">
        <v>1500</v>
      </c>
      <c r="S86" s="6" t="n">
        <v>1500</v>
      </c>
      <c r="T86" s="6" t="n">
        <v>1500</v>
      </c>
      <c r="U86" s="6" t="n">
        <v>1500</v>
      </c>
      <c r="V86" s="6" t="n">
        <v>1500</v>
      </c>
      <c r="W86" s="6" t="n">
        <v>1500</v>
      </c>
      <c r="X86" s="6" t="n">
        <v>1500</v>
      </c>
      <c r="Y86" s="6" t="n">
        <v>1500</v>
      </c>
      <c r="Z86" s="6" t="n">
        <v>1500</v>
      </c>
      <c r="AA86" s="6" t="n">
        <v>2500</v>
      </c>
      <c r="AB86" s="6" t="n">
        <v>2500</v>
      </c>
      <c r="AC86" s="6" t="n">
        <v>2500</v>
      </c>
      <c r="AD86" s="6" t="n">
        <v>2500</v>
      </c>
      <c r="AE86" s="6" t="n">
        <v>2500</v>
      </c>
      <c r="AF86" s="6" t="n">
        <v>2500</v>
      </c>
      <c r="AG86" s="6" t="n">
        <v>2500</v>
      </c>
      <c r="AH86" s="6" t="n">
        <v>2500</v>
      </c>
      <c r="AI86" s="6" t="n">
        <v>2500</v>
      </c>
      <c r="AJ86" s="6" t="n">
        <v>2500</v>
      </c>
      <c r="AK86" s="6" t="n">
        <v>2500</v>
      </c>
      <c r="AL86" s="6" t="n">
        <v>2500</v>
      </c>
    </row>
    <row r="87" ht="25" customHeight="1">
      <c r="A87" s="12" t="inlineStr">
        <is>
          <t>ms.content</t>
        </is>
      </c>
      <c r="B87" s="13" t="inlineStr">
        <is>
          <t>Content creation</t>
        </is>
      </c>
      <c r="C87" s="6" t="n">
        <v>1500</v>
      </c>
      <c r="D87" s="6" t="n">
        <v>1500</v>
      </c>
      <c r="E87" s="6" t="n">
        <v>1500</v>
      </c>
      <c r="F87" s="6" t="n">
        <v>1500</v>
      </c>
      <c r="G87" s="6" t="n">
        <v>1500</v>
      </c>
      <c r="H87" s="6" t="n">
        <v>1500</v>
      </c>
      <c r="I87" s="6" t="n">
        <v>1500</v>
      </c>
      <c r="J87" s="6" t="n">
        <v>1500</v>
      </c>
      <c r="K87" s="6" t="n">
        <v>1500</v>
      </c>
      <c r="L87" s="6" t="n">
        <v>1500</v>
      </c>
      <c r="M87" s="6" t="n">
        <v>1500</v>
      </c>
      <c r="N87" s="6" t="n">
        <v>1500</v>
      </c>
      <c r="O87" s="6" t="n">
        <v>1500</v>
      </c>
      <c r="P87" s="6" t="n">
        <v>1500</v>
      </c>
      <c r="Q87" s="6" t="n">
        <v>1500</v>
      </c>
      <c r="R87" s="6" t="n">
        <v>1500</v>
      </c>
      <c r="S87" s="6" t="n">
        <v>1500</v>
      </c>
      <c r="T87" s="6" t="n">
        <v>1500</v>
      </c>
      <c r="U87" s="6" t="n">
        <v>1500</v>
      </c>
      <c r="V87" s="6" t="n">
        <v>1500</v>
      </c>
      <c r="W87" s="6" t="n">
        <v>1500</v>
      </c>
      <c r="X87" s="6" t="n">
        <v>1500</v>
      </c>
      <c r="Y87" s="6" t="n">
        <v>1500</v>
      </c>
      <c r="Z87" s="6" t="n">
        <v>1500</v>
      </c>
      <c r="AA87" s="6" t="n">
        <v>1500</v>
      </c>
      <c r="AB87" s="6" t="n">
        <v>1500</v>
      </c>
      <c r="AC87" s="6" t="n">
        <v>1500</v>
      </c>
      <c r="AD87" s="6" t="n">
        <v>1500</v>
      </c>
      <c r="AE87" s="6" t="n">
        <v>1500</v>
      </c>
      <c r="AF87" s="6" t="n">
        <v>1500</v>
      </c>
      <c r="AG87" s="6" t="n">
        <v>1500</v>
      </c>
      <c r="AH87" s="6" t="n">
        <v>1500</v>
      </c>
      <c r="AI87" s="6" t="n">
        <v>1500</v>
      </c>
      <c r="AJ87" s="6" t="n">
        <v>1500</v>
      </c>
      <c r="AK87" s="6" t="n">
        <v>1500</v>
      </c>
      <c r="AL87" s="6" t="n">
        <v>1500</v>
      </c>
    </row>
    <row r="88" ht="25" customHeight="1">
      <c r="A88" s="12" t="inlineStr">
        <is>
          <t>ms.tripleBundle</t>
        </is>
      </c>
      <c r="B88" s="13" t="inlineStr">
        <is>
          <t>Triple Bundle equipment</t>
        </is>
      </c>
      <c r="C88" s="6" t="n">
        <v>70</v>
      </c>
      <c r="D88" s="6" t="n">
        <v>70</v>
      </c>
      <c r="E88" s="6" t="n">
        <v>70</v>
      </c>
      <c r="F88" s="6" t="n">
        <v>70</v>
      </c>
      <c r="G88" s="6" t="n">
        <v>70</v>
      </c>
      <c r="H88" s="6" t="n">
        <v>70</v>
      </c>
      <c r="I88" s="6" t="n">
        <v>70</v>
      </c>
      <c r="J88" s="6" t="n">
        <v>70</v>
      </c>
      <c r="K88" s="6" t="n">
        <v>70</v>
      </c>
      <c r="L88" s="6" t="n">
        <v>70</v>
      </c>
      <c r="M88" s="6" t="n">
        <v>70</v>
      </c>
      <c r="N88" s="6" t="n">
        <v>70</v>
      </c>
      <c r="O88" s="6" t="n">
        <v>70</v>
      </c>
      <c r="P88" s="6" t="n">
        <v>70</v>
      </c>
      <c r="Q88" s="6" t="n">
        <v>70</v>
      </c>
      <c r="R88" s="6" t="n">
        <v>70</v>
      </c>
      <c r="S88" s="6" t="n">
        <v>70</v>
      </c>
      <c r="T88" s="6" t="n">
        <v>70</v>
      </c>
      <c r="U88" s="6" t="n">
        <v>70</v>
      </c>
      <c r="V88" s="6" t="n">
        <v>70</v>
      </c>
      <c r="W88" s="6" t="n">
        <v>70</v>
      </c>
      <c r="X88" s="6" t="n">
        <v>70</v>
      </c>
      <c r="Y88" s="6" t="n">
        <v>70</v>
      </c>
      <c r="Z88" s="6" t="n">
        <v>70</v>
      </c>
      <c r="AA88" s="6" t="n">
        <v>70</v>
      </c>
      <c r="AB88" s="6" t="n">
        <v>70</v>
      </c>
      <c r="AC88" s="6" t="n">
        <v>70</v>
      </c>
      <c r="AD88" s="6" t="n">
        <v>70</v>
      </c>
      <c r="AE88" s="6" t="n">
        <v>70</v>
      </c>
      <c r="AF88" s="6" t="n">
        <v>70</v>
      </c>
      <c r="AG88" s="6" t="n">
        <v>70</v>
      </c>
      <c r="AH88" s="6" t="n">
        <v>70</v>
      </c>
      <c r="AI88" s="6" t="n">
        <v>70</v>
      </c>
      <c r="AJ88" s="6" t="n">
        <v>70</v>
      </c>
      <c r="AK88" s="6" t="n">
        <v>70</v>
      </c>
      <c r="AL88" s="6" t="n">
        <v>70</v>
      </c>
    </row>
    <row r="89" ht="25" customHeight="1">
      <c r="A89" s="12" t="inlineStr">
        <is>
          <t>ops.support</t>
        </is>
      </c>
      <c r="B89" s="13" t="inlineStr">
        <is>
          <t>Customer support - Yaar</t>
        </is>
      </c>
      <c r="C89" s="6" t="n">
        <v>4000</v>
      </c>
      <c r="D89" s="6" t="n">
        <v>4000</v>
      </c>
      <c r="E89" s="6" t="n">
        <v>4000</v>
      </c>
      <c r="F89" s="6" t="n">
        <v>4000</v>
      </c>
      <c r="G89" s="6" t="n">
        <v>4000</v>
      </c>
      <c r="H89" s="6" t="n">
        <v>4000</v>
      </c>
      <c r="I89" s="6" t="n">
        <v>4000</v>
      </c>
      <c r="J89" s="6" t="n">
        <v>4000</v>
      </c>
      <c r="K89" s="6" t="n">
        <v>4000</v>
      </c>
      <c r="L89" s="6" t="n">
        <v>4000</v>
      </c>
      <c r="M89" s="6" t="n">
        <v>4000</v>
      </c>
      <c r="N89" s="6" t="n">
        <v>4000</v>
      </c>
      <c r="O89" s="6" t="n">
        <v>4000</v>
      </c>
      <c r="P89" s="6" t="n">
        <v>4000</v>
      </c>
      <c r="Q89" s="6" t="n">
        <v>4000</v>
      </c>
      <c r="R89" s="6" t="n">
        <v>4000</v>
      </c>
      <c r="S89" s="6" t="n">
        <v>4000</v>
      </c>
      <c r="T89" s="6" t="n">
        <v>4000</v>
      </c>
      <c r="U89" s="6" t="n">
        <v>4000</v>
      </c>
      <c r="V89" s="6" t="n">
        <v>4000</v>
      </c>
      <c r="W89" s="6" t="n">
        <v>4000</v>
      </c>
      <c r="X89" s="6" t="n">
        <v>4000</v>
      </c>
      <c r="Y89" s="6" t="n">
        <v>4000</v>
      </c>
      <c r="Z89" s="6" t="n">
        <v>4000</v>
      </c>
      <c r="AA89" s="6" t="n">
        <v>5000</v>
      </c>
      <c r="AB89" s="6" t="n">
        <v>5000</v>
      </c>
      <c r="AC89" s="6" t="n">
        <v>5000</v>
      </c>
      <c r="AD89" s="6" t="n">
        <v>5000</v>
      </c>
      <c r="AE89" s="6" t="n">
        <v>5000</v>
      </c>
      <c r="AF89" s="6" t="n">
        <v>5000</v>
      </c>
      <c r="AG89" s="6" t="n">
        <v>5000</v>
      </c>
      <c r="AH89" s="6" t="n">
        <v>5000</v>
      </c>
      <c r="AI89" s="6" t="n">
        <v>5000</v>
      </c>
      <c r="AJ89" s="6" t="n">
        <v>5000</v>
      </c>
      <c r="AK89" s="6" t="n">
        <v>5000</v>
      </c>
      <c r="AL89" s="6" t="n">
        <v>5000</v>
      </c>
    </row>
    <row r="90" ht="25" customHeight="1">
      <c r="A90" s="12" t="inlineStr">
        <is>
          <t>ops.installations</t>
        </is>
      </c>
      <c r="B90" s="13" t="inlineStr">
        <is>
          <t>Online installation manager</t>
        </is>
      </c>
      <c r="C90" s="6" t="n">
        <v>3333</v>
      </c>
      <c r="D90" s="6" t="n">
        <v>3333</v>
      </c>
      <c r="E90" s="6" t="n">
        <v>3333</v>
      </c>
      <c r="F90" s="6" t="n">
        <v>3333</v>
      </c>
      <c r="G90" s="6" t="n">
        <v>3333</v>
      </c>
      <c r="H90" s="6" t="n">
        <v>3333</v>
      </c>
      <c r="I90" s="6" t="n">
        <v>3333</v>
      </c>
      <c r="J90" s="6" t="n">
        <v>3333</v>
      </c>
      <c r="K90" s="6" t="n">
        <v>3333</v>
      </c>
      <c r="L90" s="6" t="n">
        <v>3333</v>
      </c>
      <c r="M90" s="6" t="n">
        <v>3333</v>
      </c>
      <c r="N90" s="6" t="n">
        <v>3333</v>
      </c>
      <c r="O90" s="6" t="n">
        <v>3333</v>
      </c>
      <c r="P90" s="6" t="n">
        <v>3333</v>
      </c>
      <c r="Q90" s="6" t="n">
        <v>3333</v>
      </c>
      <c r="R90" s="6" t="n">
        <v>3333</v>
      </c>
      <c r="S90" s="6" t="n">
        <v>3333</v>
      </c>
      <c r="T90" s="6" t="n">
        <v>3333</v>
      </c>
      <c r="U90" s="6" t="n">
        <v>4000</v>
      </c>
      <c r="V90" s="6" t="n">
        <v>4000</v>
      </c>
      <c r="W90" s="6" t="n">
        <v>4000</v>
      </c>
      <c r="X90" s="6" t="n">
        <v>4000</v>
      </c>
      <c r="Y90" s="6" t="n">
        <v>4000</v>
      </c>
      <c r="Z90" s="6" t="n">
        <v>4000</v>
      </c>
      <c r="AA90" s="6" t="n">
        <v>4166.25</v>
      </c>
      <c r="AB90" s="6" t="n">
        <v>4166.25</v>
      </c>
      <c r="AC90" s="6" t="n">
        <v>4166.25</v>
      </c>
      <c r="AD90" s="6" t="n">
        <v>4166.25</v>
      </c>
      <c r="AE90" s="6" t="n">
        <v>4166.25</v>
      </c>
      <c r="AF90" s="6" t="n">
        <v>4166.25</v>
      </c>
      <c r="AG90" s="6" t="n">
        <v>4166.25</v>
      </c>
      <c r="AH90" s="6" t="n">
        <v>4166.25</v>
      </c>
      <c r="AI90" s="6" t="n">
        <v>4166.25</v>
      </c>
      <c r="AJ90" s="6" t="n">
        <v>4166.25</v>
      </c>
      <c r="AK90" s="6" t="n">
        <v>4166.25</v>
      </c>
      <c r="AL90" s="6" t="n">
        <v>4166.25</v>
      </c>
    </row>
    <row r="91" ht="25" customHeight="1">
      <c r="A91" s="12" t="inlineStr">
        <is>
          <t>mgmt.ceo</t>
        </is>
      </c>
      <c r="B91" s="13" t="inlineStr">
        <is>
          <t>CEO - Maor</t>
        </is>
      </c>
      <c r="C91" s="6" t="n">
        <v>5000</v>
      </c>
      <c r="D91" s="6" t="n">
        <v>5000</v>
      </c>
      <c r="E91" s="6" t="n">
        <v>5000</v>
      </c>
      <c r="F91" s="6" t="n">
        <v>5000</v>
      </c>
      <c r="G91" s="6" t="n">
        <v>5000</v>
      </c>
      <c r="H91" s="6" t="n">
        <v>5000</v>
      </c>
      <c r="I91" s="6" t="n">
        <v>6000</v>
      </c>
      <c r="J91" s="6" t="n">
        <v>6000</v>
      </c>
      <c r="K91" s="6" t="n">
        <v>6000</v>
      </c>
      <c r="L91" s="6" t="n">
        <v>6000</v>
      </c>
      <c r="M91" s="6" t="n">
        <v>6000</v>
      </c>
      <c r="N91" s="6" t="n">
        <v>6000</v>
      </c>
      <c r="O91" s="6" t="n">
        <v>12000</v>
      </c>
      <c r="P91" s="6" t="n">
        <v>12000</v>
      </c>
      <c r="Q91" s="6" t="n">
        <v>12000</v>
      </c>
      <c r="R91" s="6" t="n">
        <v>12000</v>
      </c>
      <c r="S91" s="6" t="n">
        <v>12000</v>
      </c>
      <c r="T91" s="6" t="n">
        <v>12000</v>
      </c>
      <c r="U91" s="6" t="n">
        <v>12000</v>
      </c>
      <c r="V91" s="6" t="n">
        <v>12000</v>
      </c>
      <c r="W91" s="6" t="n">
        <v>12000</v>
      </c>
      <c r="X91" s="6" t="n">
        <v>12000</v>
      </c>
      <c r="Y91" s="6" t="n">
        <v>12000</v>
      </c>
      <c r="Z91" s="6" t="n">
        <v>12000</v>
      </c>
      <c r="AA91" s="6" t="n">
        <v>15000</v>
      </c>
      <c r="AB91" s="6" t="n">
        <v>15000</v>
      </c>
      <c r="AC91" s="6" t="n">
        <v>15000</v>
      </c>
      <c r="AD91" s="6" t="n">
        <v>15000</v>
      </c>
      <c r="AE91" s="6" t="n">
        <v>15000</v>
      </c>
      <c r="AF91" s="6" t="n">
        <v>15000</v>
      </c>
      <c r="AG91" s="6" t="n">
        <v>15000</v>
      </c>
      <c r="AH91" s="6" t="n">
        <v>15000</v>
      </c>
      <c r="AI91" s="6" t="n">
        <v>15000</v>
      </c>
      <c r="AJ91" s="6" t="n">
        <v>15000</v>
      </c>
      <c r="AK91" s="6" t="n">
        <v>15000</v>
      </c>
      <c r="AL91" s="6" t="n">
        <v>15000</v>
      </c>
    </row>
    <row r="92" ht="25" customHeight="1">
      <c r="A92" s="12" t="inlineStr">
        <is>
          <t>mgmt.coo</t>
        </is>
      </c>
      <c r="B92" s="13" t="inlineStr">
        <is>
          <t>COO - Elad</t>
        </is>
      </c>
      <c r="C92" s="6" t="n">
        <v>5000</v>
      </c>
      <c r="D92" s="6" t="n">
        <v>5000</v>
      </c>
      <c r="E92" s="6" t="n">
        <v>5000</v>
      </c>
      <c r="F92" s="6" t="n">
        <v>5000</v>
      </c>
      <c r="G92" s="6" t="n">
        <v>5000</v>
      </c>
      <c r="H92" s="6" t="n">
        <v>5000</v>
      </c>
      <c r="I92" s="6" t="n">
        <v>6000</v>
      </c>
      <c r="J92" s="6" t="n">
        <v>6000</v>
      </c>
      <c r="K92" s="6" t="n">
        <v>6000</v>
      </c>
      <c r="L92" s="6" t="n">
        <v>6000</v>
      </c>
      <c r="M92" s="6" t="n">
        <v>6000</v>
      </c>
      <c r="N92" s="6" t="n">
        <v>6000</v>
      </c>
      <c r="O92" s="6" t="n">
        <v>12000</v>
      </c>
      <c r="P92" s="6" t="n">
        <v>12000</v>
      </c>
      <c r="Q92" s="6" t="n">
        <v>12000</v>
      </c>
      <c r="R92" s="6" t="n">
        <v>12000</v>
      </c>
      <c r="S92" s="6" t="n">
        <v>12000</v>
      </c>
      <c r="T92" s="6" t="n">
        <v>12000</v>
      </c>
      <c r="U92" s="6" t="n">
        <v>12000</v>
      </c>
      <c r="V92" s="6" t="n">
        <v>12000</v>
      </c>
      <c r="W92" s="6" t="n">
        <v>12000</v>
      </c>
      <c r="X92" s="6" t="n">
        <v>12000</v>
      </c>
      <c r="Y92" s="6" t="n">
        <v>12000</v>
      </c>
      <c r="Z92" s="6" t="n">
        <v>12000</v>
      </c>
      <c r="AA92" s="6" t="n">
        <v>15000</v>
      </c>
      <c r="AB92" s="6" t="n">
        <v>15000</v>
      </c>
      <c r="AC92" s="6" t="n">
        <v>15000</v>
      </c>
      <c r="AD92" s="6" t="n">
        <v>15000</v>
      </c>
      <c r="AE92" s="6" t="n">
        <v>15000</v>
      </c>
      <c r="AF92" s="6" t="n">
        <v>15000</v>
      </c>
      <c r="AG92" s="6" t="n">
        <v>15000</v>
      </c>
      <c r="AH92" s="6" t="n">
        <v>15000</v>
      </c>
      <c r="AI92" s="6" t="n">
        <v>15000</v>
      </c>
      <c r="AJ92" s="6" t="n">
        <v>15000</v>
      </c>
      <c r="AK92" s="6" t="n">
        <v>15000</v>
      </c>
      <c r="AL92" s="6" t="n">
        <v>15000</v>
      </c>
    </row>
    <row r="93" ht="25" customHeight="1">
      <c r="A93" s="12" t="inlineStr">
        <is>
          <t>admin.bookkeeping</t>
        </is>
      </c>
      <c r="B93" s="13" t="inlineStr">
        <is>
          <t>Bookkeeping</t>
        </is>
      </c>
      <c r="C93" s="6" t="n">
        <v>1500</v>
      </c>
      <c r="D93" s="6" t="n">
        <v>1500</v>
      </c>
      <c r="E93" s="6" t="n">
        <v>1500</v>
      </c>
      <c r="F93" s="6" t="n">
        <v>1500</v>
      </c>
      <c r="G93" s="6" t="n">
        <v>1500</v>
      </c>
      <c r="H93" s="6" t="n">
        <v>1500</v>
      </c>
      <c r="I93" s="6" t="n">
        <v>2000</v>
      </c>
      <c r="J93" s="6" t="n">
        <v>2000</v>
      </c>
      <c r="K93" s="6" t="n">
        <v>2000</v>
      </c>
      <c r="L93" s="6" t="n">
        <v>2000</v>
      </c>
      <c r="M93" s="6" t="n">
        <v>2000</v>
      </c>
      <c r="N93" s="6" t="n">
        <v>2000</v>
      </c>
      <c r="O93" s="6" t="n">
        <v>2500</v>
      </c>
      <c r="P93" s="6" t="n">
        <v>2500</v>
      </c>
      <c r="Q93" s="6" t="n">
        <v>2500</v>
      </c>
      <c r="R93" s="6" t="n">
        <v>2500</v>
      </c>
      <c r="S93" s="6" t="n">
        <v>2500</v>
      </c>
      <c r="T93" s="6" t="n">
        <v>2500</v>
      </c>
      <c r="U93" s="6" t="n">
        <v>3000</v>
      </c>
      <c r="V93" s="6" t="n">
        <v>3000</v>
      </c>
      <c r="W93" s="6" t="n">
        <v>3000</v>
      </c>
      <c r="X93" s="6" t="n">
        <v>3000</v>
      </c>
      <c r="Y93" s="6" t="n">
        <v>3000</v>
      </c>
      <c r="Z93" s="6" t="n">
        <v>3000</v>
      </c>
      <c r="AA93" s="6" t="n">
        <v>3000</v>
      </c>
      <c r="AB93" s="6" t="n">
        <v>3000</v>
      </c>
      <c r="AC93" s="6" t="n">
        <v>3000</v>
      </c>
      <c r="AD93" s="6" t="n">
        <v>3000</v>
      </c>
      <c r="AE93" s="6" t="n">
        <v>3000</v>
      </c>
      <c r="AF93" s="6" t="n">
        <v>3000</v>
      </c>
      <c r="AG93" s="6" t="n">
        <v>3000</v>
      </c>
      <c r="AH93" s="6" t="n">
        <v>3000</v>
      </c>
      <c r="AI93" s="6" t="n">
        <v>3000</v>
      </c>
      <c r="AJ93" s="6" t="n">
        <v>3000</v>
      </c>
      <c r="AK93" s="6" t="n">
        <v>3000</v>
      </c>
      <c r="AL93" s="6" t="n">
        <v>3000</v>
      </c>
    </row>
    <row r="94" ht="25" customHeight="1">
      <c r="A94" s="12" t="inlineStr">
        <is>
          <t>admin.vat</t>
        </is>
      </c>
      <c r="B94" s="13" t="inlineStr">
        <is>
          <t>VAT Israel</t>
        </is>
      </c>
      <c r="C94" s="18" t="n">
        <v>0.1</v>
      </c>
      <c r="D94" s="18" t="n">
        <v>0.1</v>
      </c>
      <c r="E94" s="18" t="n">
        <v>0.1</v>
      </c>
      <c r="F94" s="18" t="n">
        <v>0.1</v>
      </c>
      <c r="G94" s="18" t="n">
        <v>0.1</v>
      </c>
      <c r="H94" s="18" t="n">
        <v>0.1</v>
      </c>
      <c r="I94" s="18" t="n">
        <v>0.1</v>
      </c>
      <c r="J94" s="18" t="n">
        <v>0.1</v>
      </c>
      <c r="K94" s="18" t="n">
        <v>0.1</v>
      </c>
      <c r="L94" s="18" t="n">
        <v>0.1</v>
      </c>
      <c r="M94" s="18" t="n">
        <v>0.1</v>
      </c>
      <c r="N94" s="18" t="n">
        <v>0.1</v>
      </c>
      <c r="O94" s="18" t="n">
        <v>0.1</v>
      </c>
      <c r="P94" s="18" t="n">
        <v>0.1</v>
      </c>
      <c r="Q94" s="18" t="n">
        <v>0.1</v>
      </c>
      <c r="R94" s="18" t="n">
        <v>0.1</v>
      </c>
      <c r="S94" s="18" t="n">
        <v>0.1</v>
      </c>
      <c r="T94" s="18" t="n">
        <v>0.1</v>
      </c>
      <c r="U94" s="18" t="n">
        <v>0.1</v>
      </c>
      <c r="V94" s="18" t="n">
        <v>0.1</v>
      </c>
      <c r="W94" s="18" t="n">
        <v>0.1</v>
      </c>
      <c r="X94" s="18" t="n">
        <v>0.1</v>
      </c>
      <c r="Y94" s="18" t="n">
        <v>0.1</v>
      </c>
      <c r="Z94" s="18" t="n">
        <v>0.1</v>
      </c>
      <c r="AA94" s="18" t="n">
        <v>0.1</v>
      </c>
      <c r="AB94" s="18" t="n">
        <v>0.1</v>
      </c>
      <c r="AC94" s="18" t="n">
        <v>0.1</v>
      </c>
      <c r="AD94" s="18" t="n">
        <v>0.1</v>
      </c>
      <c r="AE94" s="18" t="n">
        <v>0.1</v>
      </c>
      <c r="AF94" s="18" t="n">
        <v>0.1</v>
      </c>
      <c r="AG94" s="18" t="n">
        <v>0.1</v>
      </c>
      <c r="AH94" s="18" t="n">
        <v>0.1</v>
      </c>
      <c r="AI94" s="18" t="n">
        <v>0.1</v>
      </c>
      <c r="AJ94" s="18" t="n">
        <v>0.1</v>
      </c>
      <c r="AK94" s="18" t="n">
        <v>0.1</v>
      </c>
      <c r="AL94" s="18" t="n">
        <v>0.1</v>
      </c>
    </row>
    <row r="95" ht="25" customHeight="1">
      <c r="A95" s="12" t="inlineStr">
        <is>
          <t>admin.misc</t>
        </is>
      </c>
      <c r="B95" s="13" t="inlineStr">
        <is>
          <t>Miscellaneous / equipment</t>
        </is>
      </c>
      <c r="C95" s="6" t="n">
        <v>1000</v>
      </c>
      <c r="D95" s="6" t="n">
        <v>1000</v>
      </c>
      <c r="E95" s="6" t="n">
        <v>1000</v>
      </c>
      <c r="F95" s="6" t="n">
        <v>1000</v>
      </c>
      <c r="G95" s="6" t="n">
        <v>1000</v>
      </c>
      <c r="H95" s="6" t="n">
        <v>1000</v>
      </c>
      <c r="I95" s="6" t="n">
        <v>1000</v>
      </c>
      <c r="J95" s="6" t="n">
        <v>1000</v>
      </c>
      <c r="K95" s="6" t="n">
        <v>1000</v>
      </c>
      <c r="L95" s="6" t="n">
        <v>1000</v>
      </c>
      <c r="M95" s="6" t="n">
        <v>1000</v>
      </c>
      <c r="N95" s="6" t="n">
        <v>1000</v>
      </c>
      <c r="O95" s="6" t="n">
        <v>2000</v>
      </c>
      <c r="P95" s="6" t="n">
        <v>2000</v>
      </c>
      <c r="Q95" s="6" t="n">
        <v>2000</v>
      </c>
      <c r="R95" s="6" t="n">
        <v>2000</v>
      </c>
      <c r="S95" s="6" t="n">
        <v>2000</v>
      </c>
      <c r="T95" s="6" t="n">
        <v>2000</v>
      </c>
      <c r="U95" s="6" t="n">
        <v>2500</v>
      </c>
      <c r="V95" s="6" t="n">
        <v>2500</v>
      </c>
      <c r="W95" s="6" t="n">
        <v>2500</v>
      </c>
      <c r="X95" s="6" t="n">
        <v>2500</v>
      </c>
      <c r="Y95" s="6" t="n">
        <v>2500</v>
      </c>
      <c r="Z95" s="6" t="n">
        <v>2500</v>
      </c>
      <c r="AA95" s="6" t="n">
        <v>2500</v>
      </c>
      <c r="AB95" s="6" t="n">
        <v>2500</v>
      </c>
      <c r="AC95" s="6" t="n">
        <v>2500</v>
      </c>
      <c r="AD95" s="6" t="n">
        <v>2500</v>
      </c>
      <c r="AE95" s="6" t="n">
        <v>2500</v>
      </c>
      <c r="AF95" s="6" t="n">
        <v>2500</v>
      </c>
      <c r="AG95" s="6" t="n">
        <v>2500</v>
      </c>
      <c r="AH95" s="6" t="n">
        <v>2500</v>
      </c>
      <c r="AI95" s="6" t="n">
        <v>2500</v>
      </c>
      <c r="AJ95" s="6" t="n">
        <v>2500</v>
      </c>
      <c r="AK95" s="6" t="n">
        <v>2500</v>
      </c>
      <c r="AL95" s="6" t="n">
        <v>2500</v>
      </c>
    </row>
    <row r="96" ht="25" customHeight="1">
      <c r="A96" s="12" t="inlineStr">
        <is>
          <t>custom.mp2pupvz.ydkan</t>
        </is>
      </c>
      <c r="B96" s="13" t="inlineStr">
        <is>
          <t>Costumer Sucsess</t>
        </is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3000</v>
      </c>
      <c r="P96" s="6" t="n">
        <v>3000</v>
      </c>
      <c r="Q96" s="6" t="n">
        <v>3000</v>
      </c>
      <c r="R96" s="6" t="n">
        <v>3000</v>
      </c>
      <c r="S96" s="6" t="n">
        <v>3000</v>
      </c>
      <c r="T96" s="6" t="n">
        <v>3000</v>
      </c>
      <c r="U96" s="6" t="n">
        <v>3500</v>
      </c>
      <c r="V96" s="6" t="n">
        <v>3500</v>
      </c>
      <c r="W96" s="6" t="n">
        <v>3500</v>
      </c>
      <c r="X96" s="6" t="n">
        <v>3500</v>
      </c>
      <c r="Y96" s="6" t="n">
        <v>3500</v>
      </c>
      <c r="Z96" s="6" t="n">
        <v>3500</v>
      </c>
      <c r="AA96" s="6" t="n">
        <v>4500</v>
      </c>
      <c r="AB96" s="6" t="n">
        <v>4500</v>
      </c>
      <c r="AC96" s="6" t="n">
        <v>4500</v>
      </c>
      <c r="AD96" s="6" t="n">
        <v>4500</v>
      </c>
      <c r="AE96" s="6" t="n">
        <v>4500</v>
      </c>
      <c r="AF96" s="6" t="n">
        <v>4500</v>
      </c>
      <c r="AG96" s="6" t="n">
        <v>4500</v>
      </c>
      <c r="AH96" s="6" t="n">
        <v>4500</v>
      </c>
      <c r="AI96" s="6" t="n">
        <v>4500</v>
      </c>
      <c r="AJ96" s="6" t="n">
        <v>4500</v>
      </c>
      <c r="AK96" s="6" t="n">
        <v>4500</v>
      </c>
      <c r="AL96" s="6" t="n">
        <v>4500</v>
      </c>
    </row>
    <row r="97" ht="25" customHeight="1">
      <c r="A97" s="12" t="inlineStr">
        <is>
          <t>custom.mp2pxruh.i0erl</t>
        </is>
      </c>
      <c r="B97" s="13" t="inlineStr">
        <is>
          <t>Leades Manager</t>
        </is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4000</v>
      </c>
      <c r="V97" s="6" t="n">
        <v>4000</v>
      </c>
      <c r="W97" s="6" t="n">
        <v>4000</v>
      </c>
      <c r="X97" s="6" t="n">
        <v>4000</v>
      </c>
      <c r="Y97" s="6" t="n">
        <v>4000</v>
      </c>
      <c r="Z97" s="6" t="n">
        <v>4000</v>
      </c>
      <c r="AA97" s="6" t="n">
        <v>4000</v>
      </c>
      <c r="AB97" s="6" t="n">
        <v>4000</v>
      </c>
      <c r="AC97" s="6" t="n">
        <v>4000</v>
      </c>
      <c r="AD97" s="6" t="n">
        <v>4000</v>
      </c>
      <c r="AE97" s="6" t="n">
        <v>4000</v>
      </c>
      <c r="AF97" s="6" t="n">
        <v>4000</v>
      </c>
      <c r="AG97" s="6" t="n">
        <v>4000</v>
      </c>
      <c r="AH97" s="6" t="n">
        <v>4000</v>
      </c>
      <c r="AI97" s="6" t="n">
        <v>4000</v>
      </c>
      <c r="AJ97" s="6" t="n">
        <v>4000</v>
      </c>
      <c r="AK97" s="6" t="n">
        <v>4000</v>
      </c>
      <c r="AL97" s="6" t="n">
        <v>4000</v>
      </c>
    </row>
  </sheetData>
  <autoFilter ref="A60:F76"/>
  <mergeCells count="2">
    <mergeCell ref="A2:AP2"/>
    <mergeCell ref="A1:A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B98A58"/>
    <outlinePr summaryBelow="1" summaryRight="1"/>
    <pageSetUpPr/>
  </sheetPr>
  <dimension ref="A1:AM38"/>
  <sheetViews>
    <sheetView showGridLines="0" workbookViewId="0">
      <pane xSplit="2" ySplit="3" topLeftCell="C4" activePane="bottomRight" state="frozen"/>
      <selection pane="bottomRight" activeCell="A1" sqref="A1"/>
    </sheetView>
  </sheetViews>
  <sheetFormatPr baseColWidth="8" defaultRowHeight="25" customHeight="1"/>
  <cols>
    <col width="28" customWidth="1" min="1" max="1"/>
    <col width="35" customWidth="1" min="2" max="2"/>
    <col width="15.5" customWidth="1" min="3" max="39"/>
  </cols>
  <sheetData>
    <row r="1" ht="38" customHeight="1">
      <c r="A1" s="1" t="inlineStr">
        <is>
          <t>SPECTRA | 36-Month Financial Forecast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7" t="n"/>
    </row>
    <row r="2" ht="24" customHeight="1">
      <c r="A2" s="20" t="inlineStr">
        <is>
          <t>Forecast Period</t>
        </is>
      </c>
      <c r="B2" s="21" t="inlineStr">
        <is>
          <t>36-month model</t>
        </is>
      </c>
      <c r="C2" s="22" t="inlineStr">
        <is>
          <t>Year 1</t>
        </is>
      </c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1" t="n"/>
      <c r="O2" s="24" t="inlineStr">
        <is>
          <t>Year 2</t>
        </is>
      </c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1" t="n"/>
      <c r="AA2" s="26" t="inlineStr">
        <is>
          <t>Year 3</t>
        </is>
      </c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1" t="n"/>
      <c r="AM2" s="28" t="inlineStr">
        <is>
          <t>Total / Ending</t>
        </is>
      </c>
    </row>
    <row r="3" ht="29" customHeight="1">
      <c r="A3" s="3" t="inlineStr">
        <is>
          <t>Category</t>
        </is>
      </c>
      <c r="B3" s="3" t="inlineStr">
        <is>
          <t>Row</t>
        </is>
      </c>
      <c r="C3" s="3" t="inlineStr">
        <is>
          <t>Jun 26</t>
        </is>
      </c>
      <c r="D3" s="3" t="inlineStr">
        <is>
          <t>Jul 26</t>
        </is>
      </c>
      <c r="E3" s="3" t="inlineStr">
        <is>
          <t>Aug 26</t>
        </is>
      </c>
      <c r="F3" s="3" t="inlineStr">
        <is>
          <t>Sep 26</t>
        </is>
      </c>
      <c r="G3" s="3" t="inlineStr">
        <is>
          <t>Oct 26</t>
        </is>
      </c>
      <c r="H3" s="3" t="inlineStr">
        <is>
          <t>Nov 26</t>
        </is>
      </c>
      <c r="I3" s="3" t="inlineStr">
        <is>
          <t>Dec 26</t>
        </is>
      </c>
      <c r="J3" s="3" t="inlineStr">
        <is>
          <t>Jan 27</t>
        </is>
      </c>
      <c r="K3" s="3" t="inlineStr">
        <is>
          <t>Feb 27</t>
        </is>
      </c>
      <c r="L3" s="3" t="inlineStr">
        <is>
          <t>Mar 27</t>
        </is>
      </c>
      <c r="M3" s="3" t="inlineStr">
        <is>
          <t>Apr 27</t>
        </is>
      </c>
      <c r="N3" s="3" t="inlineStr">
        <is>
          <t>May 27</t>
        </is>
      </c>
      <c r="O3" s="3" t="inlineStr">
        <is>
          <t>Jun 27</t>
        </is>
      </c>
      <c r="P3" s="3" t="inlineStr">
        <is>
          <t>Jul 27</t>
        </is>
      </c>
      <c r="Q3" s="3" t="inlineStr">
        <is>
          <t>Aug 27</t>
        </is>
      </c>
      <c r="R3" s="3" t="inlineStr">
        <is>
          <t>Sep 27</t>
        </is>
      </c>
      <c r="S3" s="3" t="inlineStr">
        <is>
          <t>Oct 27</t>
        </is>
      </c>
      <c r="T3" s="3" t="inlineStr">
        <is>
          <t>Nov 27</t>
        </is>
      </c>
      <c r="U3" s="3" t="inlineStr">
        <is>
          <t>Dec 27</t>
        </is>
      </c>
      <c r="V3" s="3" t="inlineStr">
        <is>
          <t>Jan 28</t>
        </is>
      </c>
      <c r="W3" s="3" t="inlineStr">
        <is>
          <t>Feb 28</t>
        </is>
      </c>
      <c r="X3" s="3" t="inlineStr">
        <is>
          <t>Mar 28</t>
        </is>
      </c>
      <c r="Y3" s="3" t="inlineStr">
        <is>
          <t>Apr 28</t>
        </is>
      </c>
      <c r="Z3" s="3" t="inlineStr">
        <is>
          <t>May 28</t>
        </is>
      </c>
      <c r="AA3" s="3" t="inlineStr">
        <is>
          <t>Jun 28</t>
        </is>
      </c>
      <c r="AB3" s="3" t="inlineStr">
        <is>
          <t>Jul 28</t>
        </is>
      </c>
      <c r="AC3" s="3" t="inlineStr">
        <is>
          <t>Aug 28</t>
        </is>
      </c>
      <c r="AD3" s="3" t="inlineStr">
        <is>
          <t>Sep 28</t>
        </is>
      </c>
      <c r="AE3" s="3" t="inlineStr">
        <is>
          <t>Oct 28</t>
        </is>
      </c>
      <c r="AF3" s="3" t="inlineStr">
        <is>
          <t>Nov 28</t>
        </is>
      </c>
      <c r="AG3" s="3" t="inlineStr">
        <is>
          <t>Dec 28</t>
        </is>
      </c>
      <c r="AH3" s="3" t="inlineStr">
        <is>
          <t>Jan 29</t>
        </is>
      </c>
      <c r="AI3" s="3" t="inlineStr">
        <is>
          <t>Feb 29</t>
        </is>
      </c>
      <c r="AJ3" s="3" t="inlineStr">
        <is>
          <t>Mar 29</t>
        </is>
      </c>
      <c r="AK3" s="3" t="inlineStr">
        <is>
          <t>Apr 29</t>
        </is>
      </c>
      <c r="AL3" s="3" t="inlineStr">
        <is>
          <t>May 29</t>
        </is>
      </c>
      <c r="AM3" s="3" t="inlineStr">
        <is>
          <t>Total / Ending</t>
        </is>
      </c>
    </row>
    <row r="4" ht="25" customHeight="1">
      <c r="A4" s="29" t="inlineStr">
        <is>
          <t>Subscribers</t>
        </is>
      </c>
      <c r="B4" s="29" t="inlineStr">
        <is>
          <t>Subscribers Start</t>
        </is>
      </c>
      <c r="C4" s="5">
        <f>'Assumptions'!B8</f>
        <v/>
      </c>
      <c r="D4" s="5">
        <f>C7</f>
        <v/>
      </c>
      <c r="E4" s="5">
        <f>D7</f>
        <v/>
      </c>
      <c r="F4" s="5">
        <f>E7</f>
        <v/>
      </c>
      <c r="G4" s="5">
        <f>F7</f>
        <v/>
      </c>
      <c r="H4" s="5">
        <f>G7</f>
        <v/>
      </c>
      <c r="I4" s="5">
        <f>H7</f>
        <v/>
      </c>
      <c r="J4" s="5">
        <f>I7</f>
        <v/>
      </c>
      <c r="K4" s="5">
        <f>J7</f>
        <v/>
      </c>
      <c r="L4" s="5">
        <f>K7</f>
        <v/>
      </c>
      <c r="M4" s="5">
        <f>L7</f>
        <v/>
      </c>
      <c r="N4" s="5">
        <f>M7</f>
        <v/>
      </c>
      <c r="O4" s="5">
        <f>N7</f>
        <v/>
      </c>
      <c r="P4" s="5">
        <f>O7</f>
        <v/>
      </c>
      <c r="Q4" s="5">
        <f>P7</f>
        <v/>
      </c>
      <c r="R4" s="5">
        <f>Q7</f>
        <v/>
      </c>
      <c r="S4" s="5">
        <f>R7</f>
        <v/>
      </c>
      <c r="T4" s="5">
        <f>S7</f>
        <v/>
      </c>
      <c r="U4" s="5">
        <f>T7</f>
        <v/>
      </c>
      <c r="V4" s="5">
        <f>U7</f>
        <v/>
      </c>
      <c r="W4" s="5">
        <f>V7</f>
        <v/>
      </c>
      <c r="X4" s="5">
        <f>W7</f>
        <v/>
      </c>
      <c r="Y4" s="5">
        <f>X7</f>
        <v/>
      </c>
      <c r="Z4" s="5">
        <f>Y7</f>
        <v/>
      </c>
      <c r="AA4" s="5">
        <f>Z7</f>
        <v/>
      </c>
      <c r="AB4" s="5">
        <f>AA7</f>
        <v/>
      </c>
      <c r="AC4" s="5">
        <f>AB7</f>
        <v/>
      </c>
      <c r="AD4" s="5">
        <f>AC7</f>
        <v/>
      </c>
      <c r="AE4" s="5">
        <f>AD7</f>
        <v/>
      </c>
      <c r="AF4" s="5">
        <f>AE7</f>
        <v/>
      </c>
      <c r="AG4" s="5">
        <f>AF7</f>
        <v/>
      </c>
      <c r="AH4" s="5">
        <f>AG7</f>
        <v/>
      </c>
      <c r="AI4" s="5">
        <f>AH7</f>
        <v/>
      </c>
      <c r="AJ4" s="5">
        <f>AI7</f>
        <v/>
      </c>
      <c r="AK4" s="5">
        <f>AJ7</f>
        <v/>
      </c>
      <c r="AL4" s="5">
        <f>AK7</f>
        <v/>
      </c>
      <c r="AM4" s="5">
        <f>AL4</f>
        <v/>
      </c>
    </row>
    <row r="5" ht="25" customHeight="1">
      <c r="A5" s="29" t="inlineStr">
        <is>
          <t>Subscribers</t>
        </is>
      </c>
      <c r="B5" s="29" t="inlineStr">
        <is>
          <t>New Subscribers</t>
        </is>
      </c>
      <c r="C5" s="5">
        <f>C19/C8</f>
        <v/>
      </c>
      <c r="D5" s="5">
        <f>D19/D8</f>
        <v/>
      </c>
      <c r="E5" s="5">
        <f>E19/E8</f>
        <v/>
      </c>
      <c r="F5" s="5">
        <f>F19/F8</f>
        <v/>
      </c>
      <c r="G5" s="5">
        <f>G19/G8</f>
        <v/>
      </c>
      <c r="H5" s="5">
        <f>H19/H8</f>
        <v/>
      </c>
      <c r="I5" s="5">
        <f>I19/I8</f>
        <v/>
      </c>
      <c r="J5" s="5">
        <f>J19/J8</f>
        <v/>
      </c>
      <c r="K5" s="5">
        <f>K19/K8</f>
        <v/>
      </c>
      <c r="L5" s="5">
        <f>L19/L8</f>
        <v/>
      </c>
      <c r="M5" s="5">
        <f>M19/M8</f>
        <v/>
      </c>
      <c r="N5" s="5">
        <f>N19/N8</f>
        <v/>
      </c>
      <c r="O5" s="5">
        <f>O19/O8</f>
        <v/>
      </c>
      <c r="P5" s="5">
        <f>P19/P8</f>
        <v/>
      </c>
      <c r="Q5" s="5">
        <f>Q19/Q8</f>
        <v/>
      </c>
      <c r="R5" s="5">
        <f>R19/R8</f>
        <v/>
      </c>
      <c r="S5" s="5">
        <f>S19/S8</f>
        <v/>
      </c>
      <c r="T5" s="5">
        <f>T19/T8</f>
        <v/>
      </c>
      <c r="U5" s="5">
        <f>U19/U8</f>
        <v/>
      </c>
      <c r="V5" s="5">
        <f>V19/V8</f>
        <v/>
      </c>
      <c r="W5" s="5">
        <f>W19/W8</f>
        <v/>
      </c>
      <c r="X5" s="5">
        <f>X19/X8</f>
        <v/>
      </c>
      <c r="Y5" s="5">
        <f>Y19/Y8</f>
        <v/>
      </c>
      <c r="Z5" s="5">
        <f>Z19/Z8</f>
        <v/>
      </c>
      <c r="AA5" s="5">
        <f>AA19/AA8</f>
        <v/>
      </c>
      <c r="AB5" s="5">
        <f>AB19/AB8</f>
        <v/>
      </c>
      <c r="AC5" s="5">
        <f>AC19/AC8</f>
        <v/>
      </c>
      <c r="AD5" s="5">
        <f>AD19/AD8</f>
        <v/>
      </c>
      <c r="AE5" s="5">
        <f>AE19/AE8</f>
        <v/>
      </c>
      <c r="AF5" s="5">
        <f>AF19/AF8</f>
        <v/>
      </c>
      <c r="AG5" s="5">
        <f>AG19/AG8</f>
        <v/>
      </c>
      <c r="AH5" s="5">
        <f>AH19/AH8</f>
        <v/>
      </c>
      <c r="AI5" s="5">
        <f>AI19/AI8</f>
        <v/>
      </c>
      <c r="AJ5" s="5">
        <f>AJ19/AJ8</f>
        <v/>
      </c>
      <c r="AK5" s="5">
        <f>AK19/AK8</f>
        <v/>
      </c>
      <c r="AL5" s="5">
        <f>AL19/AL8</f>
        <v/>
      </c>
      <c r="AM5" s="5">
        <f>SUM(C5:AL5)</f>
        <v/>
      </c>
    </row>
    <row r="6" ht="25" customHeight="1">
      <c r="A6" s="29" t="inlineStr">
        <is>
          <t>Subscribers</t>
        </is>
      </c>
      <c r="B6" s="29" t="inlineStr">
        <is>
          <t>Churned Subscribers</t>
        </is>
      </c>
      <c r="C6" s="5">
        <f>C4*C10</f>
        <v/>
      </c>
      <c r="D6" s="5">
        <f>D4*D10</f>
        <v/>
      </c>
      <c r="E6" s="5">
        <f>E4*E10</f>
        <v/>
      </c>
      <c r="F6" s="5">
        <f>F4*F10</f>
        <v/>
      </c>
      <c r="G6" s="5">
        <f>G4*G10</f>
        <v/>
      </c>
      <c r="H6" s="5">
        <f>H4*H10</f>
        <v/>
      </c>
      <c r="I6" s="5">
        <f>I4*I10</f>
        <v/>
      </c>
      <c r="J6" s="5">
        <f>J4*J10</f>
        <v/>
      </c>
      <c r="K6" s="5">
        <f>K4*K10</f>
        <v/>
      </c>
      <c r="L6" s="5">
        <f>L4*L10</f>
        <v/>
      </c>
      <c r="M6" s="5">
        <f>M4*M10</f>
        <v/>
      </c>
      <c r="N6" s="5">
        <f>N4*N10</f>
        <v/>
      </c>
      <c r="O6" s="5">
        <f>O4*O10</f>
        <v/>
      </c>
      <c r="P6" s="5">
        <f>P4*P10</f>
        <v/>
      </c>
      <c r="Q6" s="5">
        <f>Q4*Q10</f>
        <v/>
      </c>
      <c r="R6" s="5">
        <f>R4*R10</f>
        <v/>
      </c>
      <c r="S6" s="5">
        <f>S4*S10</f>
        <v/>
      </c>
      <c r="T6" s="5">
        <f>T4*T10</f>
        <v/>
      </c>
      <c r="U6" s="5">
        <f>U4*U10</f>
        <v/>
      </c>
      <c r="V6" s="5">
        <f>V4*V10</f>
        <v/>
      </c>
      <c r="W6" s="5">
        <f>W4*W10</f>
        <v/>
      </c>
      <c r="X6" s="5">
        <f>X4*X10</f>
        <v/>
      </c>
      <c r="Y6" s="5">
        <f>Y4*Y10</f>
        <v/>
      </c>
      <c r="Z6" s="5">
        <f>Z4*Z10</f>
        <v/>
      </c>
      <c r="AA6" s="5">
        <f>AA4*AA10</f>
        <v/>
      </c>
      <c r="AB6" s="5">
        <f>AB4*AB10</f>
        <v/>
      </c>
      <c r="AC6" s="5">
        <f>AC4*AC10</f>
        <v/>
      </c>
      <c r="AD6" s="5">
        <f>AD4*AD10</f>
        <v/>
      </c>
      <c r="AE6" s="5">
        <f>AE4*AE10</f>
        <v/>
      </c>
      <c r="AF6" s="5">
        <f>AF4*AF10</f>
        <v/>
      </c>
      <c r="AG6" s="5">
        <f>AG4*AG10</f>
        <v/>
      </c>
      <c r="AH6" s="5">
        <f>AH4*AH10</f>
        <v/>
      </c>
      <c r="AI6" s="5">
        <f>AI4*AI10</f>
        <v/>
      </c>
      <c r="AJ6" s="5">
        <f>AJ4*AJ10</f>
        <v/>
      </c>
      <c r="AK6" s="5">
        <f>AK4*AK10</f>
        <v/>
      </c>
      <c r="AL6" s="5">
        <f>AL4*AL10</f>
        <v/>
      </c>
      <c r="AM6" s="5">
        <f>SUM(C6:AL6)</f>
        <v/>
      </c>
    </row>
    <row r="7" ht="25" customHeight="1">
      <c r="A7" s="29" t="inlineStr">
        <is>
          <t>Subscribers</t>
        </is>
      </c>
      <c r="B7" s="29" t="inlineStr">
        <is>
          <t>Subscribers End</t>
        </is>
      </c>
      <c r="C7" s="5">
        <f>C4+C5-C6</f>
        <v/>
      </c>
      <c r="D7" s="5">
        <f>D4+D5-D6</f>
        <v/>
      </c>
      <c r="E7" s="5">
        <f>E4+E5-E6</f>
        <v/>
      </c>
      <c r="F7" s="5">
        <f>F4+F5-F6</f>
        <v/>
      </c>
      <c r="G7" s="5">
        <f>G4+G5-G6</f>
        <v/>
      </c>
      <c r="H7" s="5">
        <f>H4+H5-H6</f>
        <v/>
      </c>
      <c r="I7" s="5">
        <f>I4+I5-I6</f>
        <v/>
      </c>
      <c r="J7" s="5">
        <f>J4+J5-J6</f>
        <v/>
      </c>
      <c r="K7" s="5">
        <f>K4+K5-K6</f>
        <v/>
      </c>
      <c r="L7" s="5">
        <f>L4+L5-L6</f>
        <v/>
      </c>
      <c r="M7" s="5">
        <f>M4+M5-M6</f>
        <v/>
      </c>
      <c r="N7" s="5">
        <f>N4+N5-N6</f>
        <v/>
      </c>
      <c r="O7" s="5">
        <f>O4+O5-O6</f>
        <v/>
      </c>
      <c r="P7" s="5">
        <f>P4+P5-P6</f>
        <v/>
      </c>
      <c r="Q7" s="5">
        <f>Q4+Q5-Q6</f>
        <v/>
      </c>
      <c r="R7" s="5">
        <f>R4+R5-R6</f>
        <v/>
      </c>
      <c r="S7" s="5">
        <f>S4+S5-S6</f>
        <v/>
      </c>
      <c r="T7" s="5">
        <f>T4+T5-T6</f>
        <v/>
      </c>
      <c r="U7" s="5">
        <f>U4+U5-U6</f>
        <v/>
      </c>
      <c r="V7" s="5">
        <f>V4+V5-V6</f>
        <v/>
      </c>
      <c r="W7" s="5">
        <f>W4+W5-W6</f>
        <v/>
      </c>
      <c r="X7" s="5">
        <f>X4+X5-X6</f>
        <v/>
      </c>
      <c r="Y7" s="5">
        <f>Y4+Y5-Y6</f>
        <v/>
      </c>
      <c r="Z7" s="5">
        <f>Z4+Z5-Z6</f>
        <v/>
      </c>
      <c r="AA7" s="5">
        <f>AA4+AA5-AA6</f>
        <v/>
      </c>
      <c r="AB7" s="5">
        <f>AB4+AB5-AB6</f>
        <v/>
      </c>
      <c r="AC7" s="5">
        <f>AC4+AC5-AC6</f>
        <v/>
      </c>
      <c r="AD7" s="5">
        <f>AD4+AD5-AD6</f>
        <v/>
      </c>
      <c r="AE7" s="5">
        <f>AE4+AE5-AE6</f>
        <v/>
      </c>
      <c r="AF7" s="5">
        <f>AF4+AF5-AF6</f>
        <v/>
      </c>
      <c r="AG7" s="5">
        <f>AG4+AG5-AG6</f>
        <v/>
      </c>
      <c r="AH7" s="5">
        <f>AH4+AH5-AH6</f>
        <v/>
      </c>
      <c r="AI7" s="5">
        <f>AI4+AI5-AI6</f>
        <v/>
      </c>
      <c r="AJ7" s="5">
        <f>AJ4+AJ5-AJ6</f>
        <v/>
      </c>
      <c r="AK7" s="5">
        <f>AK4+AK5-AK6</f>
        <v/>
      </c>
      <c r="AL7" s="5">
        <f>AL4+AL5-AL6</f>
        <v/>
      </c>
      <c r="AM7" s="5">
        <f>AL7</f>
        <v/>
      </c>
    </row>
    <row r="8" ht="25" customHeight="1">
      <c r="A8" s="29" t="inlineStr">
        <is>
          <t>Growth Assumptions</t>
        </is>
      </c>
      <c r="B8" s="29" t="inlineStr">
        <is>
          <t>CAC</t>
        </is>
      </c>
      <c r="C8" s="6">
        <f>'Assumptions'!B20</f>
        <v/>
      </c>
      <c r="D8" s="6">
        <f>'Assumptions'!B21</f>
        <v/>
      </c>
      <c r="E8" s="6">
        <f>'Assumptions'!B22</f>
        <v/>
      </c>
      <c r="F8" s="6">
        <f>'Assumptions'!B23</f>
        <v/>
      </c>
      <c r="G8" s="6">
        <f>'Assumptions'!B24</f>
        <v/>
      </c>
      <c r="H8" s="6">
        <f>'Assumptions'!B25</f>
        <v/>
      </c>
      <c r="I8" s="6">
        <f>'Assumptions'!B26</f>
        <v/>
      </c>
      <c r="J8" s="6">
        <f>'Assumptions'!B27</f>
        <v/>
      </c>
      <c r="K8" s="6">
        <f>'Assumptions'!B28</f>
        <v/>
      </c>
      <c r="L8" s="6">
        <f>'Assumptions'!B29</f>
        <v/>
      </c>
      <c r="M8" s="6">
        <f>'Assumptions'!B30</f>
        <v/>
      </c>
      <c r="N8" s="6">
        <f>'Assumptions'!B31</f>
        <v/>
      </c>
      <c r="O8" s="6">
        <f>'Assumptions'!B32</f>
        <v/>
      </c>
      <c r="P8" s="6">
        <f>'Assumptions'!B33</f>
        <v/>
      </c>
      <c r="Q8" s="6">
        <f>'Assumptions'!B34</f>
        <v/>
      </c>
      <c r="R8" s="6">
        <f>'Assumptions'!B35</f>
        <v/>
      </c>
      <c r="S8" s="6">
        <f>'Assumptions'!B36</f>
        <v/>
      </c>
      <c r="T8" s="6">
        <f>'Assumptions'!B37</f>
        <v/>
      </c>
      <c r="U8" s="6">
        <f>'Assumptions'!B38</f>
        <v/>
      </c>
      <c r="V8" s="6">
        <f>'Assumptions'!B39</f>
        <v/>
      </c>
      <c r="W8" s="6">
        <f>'Assumptions'!B40</f>
        <v/>
      </c>
      <c r="X8" s="6">
        <f>'Assumptions'!B41</f>
        <v/>
      </c>
      <c r="Y8" s="6">
        <f>'Assumptions'!B42</f>
        <v/>
      </c>
      <c r="Z8" s="6">
        <f>'Assumptions'!B43</f>
        <v/>
      </c>
      <c r="AA8" s="6">
        <f>'Assumptions'!B44</f>
        <v/>
      </c>
      <c r="AB8" s="6">
        <f>'Assumptions'!B45</f>
        <v/>
      </c>
      <c r="AC8" s="6">
        <f>'Assumptions'!B46</f>
        <v/>
      </c>
      <c r="AD8" s="6">
        <f>'Assumptions'!B47</f>
        <v/>
      </c>
      <c r="AE8" s="6">
        <f>'Assumptions'!B48</f>
        <v/>
      </c>
      <c r="AF8" s="6">
        <f>'Assumptions'!B49</f>
        <v/>
      </c>
      <c r="AG8" s="6">
        <f>'Assumptions'!B50</f>
        <v/>
      </c>
      <c r="AH8" s="6">
        <f>'Assumptions'!B51</f>
        <v/>
      </c>
      <c r="AI8" s="6">
        <f>'Assumptions'!B52</f>
        <v/>
      </c>
      <c r="AJ8" s="6">
        <f>'Assumptions'!B53</f>
        <v/>
      </c>
      <c r="AK8" s="6">
        <f>'Assumptions'!B54</f>
        <v/>
      </c>
      <c r="AL8" s="6">
        <f>'Assumptions'!B55</f>
        <v/>
      </c>
      <c r="AM8" s="6">
        <f>AL8</f>
        <v/>
      </c>
    </row>
    <row r="9" ht="25" customHeight="1">
      <c r="A9" s="29" t="inlineStr">
        <is>
          <t>Growth Assumptions</t>
        </is>
      </c>
      <c r="B9" s="29" t="inlineStr">
        <is>
          <t>ARPU</t>
        </is>
      </c>
      <c r="C9" s="6">
        <f>'Assumptions'!C20</f>
        <v/>
      </c>
      <c r="D9" s="6">
        <f>'Assumptions'!C21</f>
        <v/>
      </c>
      <c r="E9" s="6">
        <f>'Assumptions'!C22</f>
        <v/>
      </c>
      <c r="F9" s="6">
        <f>'Assumptions'!C23</f>
        <v/>
      </c>
      <c r="G9" s="6">
        <f>'Assumptions'!C24</f>
        <v/>
      </c>
      <c r="H9" s="6">
        <f>'Assumptions'!C25</f>
        <v/>
      </c>
      <c r="I9" s="6">
        <f>'Assumptions'!C26</f>
        <v/>
      </c>
      <c r="J9" s="6">
        <f>'Assumptions'!C27</f>
        <v/>
      </c>
      <c r="K9" s="6">
        <f>'Assumptions'!C28</f>
        <v/>
      </c>
      <c r="L9" s="6">
        <f>'Assumptions'!C29</f>
        <v/>
      </c>
      <c r="M9" s="6">
        <f>'Assumptions'!C30</f>
        <v/>
      </c>
      <c r="N9" s="6">
        <f>'Assumptions'!C31</f>
        <v/>
      </c>
      <c r="O9" s="6">
        <f>'Assumptions'!C32</f>
        <v/>
      </c>
      <c r="P9" s="6">
        <f>'Assumptions'!C33</f>
        <v/>
      </c>
      <c r="Q9" s="6">
        <f>'Assumptions'!C34</f>
        <v/>
      </c>
      <c r="R9" s="6">
        <f>'Assumptions'!C35</f>
        <v/>
      </c>
      <c r="S9" s="6">
        <f>'Assumptions'!C36</f>
        <v/>
      </c>
      <c r="T9" s="6">
        <f>'Assumptions'!C37</f>
        <v/>
      </c>
      <c r="U9" s="6">
        <f>'Assumptions'!C38</f>
        <v/>
      </c>
      <c r="V9" s="6">
        <f>'Assumptions'!C39</f>
        <v/>
      </c>
      <c r="W9" s="6">
        <f>'Assumptions'!C40</f>
        <v/>
      </c>
      <c r="X9" s="6">
        <f>'Assumptions'!C41</f>
        <v/>
      </c>
      <c r="Y9" s="6">
        <f>'Assumptions'!C42</f>
        <v/>
      </c>
      <c r="Z9" s="6">
        <f>'Assumptions'!C43</f>
        <v/>
      </c>
      <c r="AA9" s="6">
        <f>'Assumptions'!C44</f>
        <v/>
      </c>
      <c r="AB9" s="6">
        <f>'Assumptions'!C45</f>
        <v/>
      </c>
      <c r="AC9" s="6">
        <f>'Assumptions'!C46</f>
        <v/>
      </c>
      <c r="AD9" s="6">
        <f>'Assumptions'!C47</f>
        <v/>
      </c>
      <c r="AE9" s="6">
        <f>'Assumptions'!C48</f>
        <v/>
      </c>
      <c r="AF9" s="6">
        <f>'Assumptions'!C49</f>
        <v/>
      </c>
      <c r="AG9" s="6">
        <f>'Assumptions'!C50</f>
        <v/>
      </c>
      <c r="AH9" s="6">
        <f>'Assumptions'!C51</f>
        <v/>
      </c>
      <c r="AI9" s="6">
        <f>'Assumptions'!C52</f>
        <v/>
      </c>
      <c r="AJ9" s="6">
        <f>'Assumptions'!C53</f>
        <v/>
      </c>
      <c r="AK9" s="6">
        <f>'Assumptions'!C54</f>
        <v/>
      </c>
      <c r="AL9" s="6">
        <f>'Assumptions'!C55</f>
        <v/>
      </c>
      <c r="AM9" s="6">
        <f>AL9</f>
        <v/>
      </c>
    </row>
    <row r="10" ht="25" customHeight="1">
      <c r="A10" s="29" t="inlineStr">
        <is>
          <t>Growth Assumptions</t>
        </is>
      </c>
      <c r="B10" s="29" t="inlineStr">
        <is>
          <t>Churn %</t>
        </is>
      </c>
      <c r="C10" s="18">
        <f>'Assumptions'!D20</f>
        <v/>
      </c>
      <c r="D10" s="18">
        <f>'Assumptions'!D21</f>
        <v/>
      </c>
      <c r="E10" s="18">
        <f>'Assumptions'!D22</f>
        <v/>
      </c>
      <c r="F10" s="18">
        <f>'Assumptions'!D23</f>
        <v/>
      </c>
      <c r="G10" s="18">
        <f>'Assumptions'!D24</f>
        <v/>
      </c>
      <c r="H10" s="18">
        <f>'Assumptions'!D25</f>
        <v/>
      </c>
      <c r="I10" s="18">
        <f>'Assumptions'!D26</f>
        <v/>
      </c>
      <c r="J10" s="18">
        <f>'Assumptions'!D27</f>
        <v/>
      </c>
      <c r="K10" s="18">
        <f>'Assumptions'!D28</f>
        <v/>
      </c>
      <c r="L10" s="18">
        <f>'Assumptions'!D29</f>
        <v/>
      </c>
      <c r="M10" s="18">
        <f>'Assumptions'!D30</f>
        <v/>
      </c>
      <c r="N10" s="18">
        <f>'Assumptions'!D31</f>
        <v/>
      </c>
      <c r="O10" s="18">
        <f>'Assumptions'!D32</f>
        <v/>
      </c>
      <c r="P10" s="18">
        <f>'Assumptions'!D33</f>
        <v/>
      </c>
      <c r="Q10" s="18">
        <f>'Assumptions'!D34</f>
        <v/>
      </c>
      <c r="R10" s="18">
        <f>'Assumptions'!D35</f>
        <v/>
      </c>
      <c r="S10" s="18">
        <f>'Assumptions'!D36</f>
        <v/>
      </c>
      <c r="T10" s="18">
        <f>'Assumptions'!D37</f>
        <v/>
      </c>
      <c r="U10" s="18">
        <f>'Assumptions'!D38</f>
        <v/>
      </c>
      <c r="V10" s="18">
        <f>'Assumptions'!D39</f>
        <v/>
      </c>
      <c r="W10" s="18">
        <f>'Assumptions'!D40</f>
        <v/>
      </c>
      <c r="X10" s="18">
        <f>'Assumptions'!D41</f>
        <v/>
      </c>
      <c r="Y10" s="18">
        <f>'Assumptions'!D42</f>
        <v/>
      </c>
      <c r="Z10" s="18">
        <f>'Assumptions'!D43</f>
        <v/>
      </c>
      <c r="AA10" s="18">
        <f>'Assumptions'!D44</f>
        <v/>
      </c>
      <c r="AB10" s="18">
        <f>'Assumptions'!D45</f>
        <v/>
      </c>
      <c r="AC10" s="18">
        <f>'Assumptions'!D46</f>
        <v/>
      </c>
      <c r="AD10" s="18">
        <f>'Assumptions'!D47</f>
        <v/>
      </c>
      <c r="AE10" s="18">
        <f>'Assumptions'!D48</f>
        <v/>
      </c>
      <c r="AF10" s="18">
        <f>'Assumptions'!D49</f>
        <v/>
      </c>
      <c r="AG10" s="18">
        <f>'Assumptions'!D50</f>
        <v/>
      </c>
      <c r="AH10" s="18">
        <f>'Assumptions'!D51</f>
        <v/>
      </c>
      <c r="AI10" s="18">
        <f>'Assumptions'!D52</f>
        <v/>
      </c>
      <c r="AJ10" s="18">
        <f>'Assumptions'!D53</f>
        <v/>
      </c>
      <c r="AK10" s="18">
        <f>'Assumptions'!D54</f>
        <v/>
      </c>
      <c r="AL10" s="18">
        <f>'Assumptions'!D55</f>
        <v/>
      </c>
      <c r="AM10" s="18">
        <f>AL10</f>
        <v/>
      </c>
    </row>
    <row r="11" ht="25" customHeight="1">
      <c r="A11" s="30" t="inlineStr">
        <is>
          <t>Revenue</t>
        </is>
      </c>
      <c r="B11" s="30" t="inlineStr">
        <is>
          <t>MRR</t>
        </is>
      </c>
      <c r="C11" s="6">
        <f>C7*C9</f>
        <v/>
      </c>
      <c r="D11" s="6">
        <f>D7*D9</f>
        <v/>
      </c>
      <c r="E11" s="6">
        <f>E7*E9</f>
        <v/>
      </c>
      <c r="F11" s="6">
        <f>F7*F9</f>
        <v/>
      </c>
      <c r="G11" s="6">
        <f>G7*G9</f>
        <v/>
      </c>
      <c r="H11" s="6">
        <f>H7*H9</f>
        <v/>
      </c>
      <c r="I11" s="6">
        <f>I7*I9</f>
        <v/>
      </c>
      <c r="J11" s="6">
        <f>J7*J9</f>
        <v/>
      </c>
      <c r="K11" s="6">
        <f>K7*K9</f>
        <v/>
      </c>
      <c r="L11" s="6">
        <f>L7*L9</f>
        <v/>
      </c>
      <c r="M11" s="6">
        <f>M7*M9</f>
        <v/>
      </c>
      <c r="N11" s="6">
        <f>N7*N9</f>
        <v/>
      </c>
      <c r="O11" s="6">
        <f>O7*O9</f>
        <v/>
      </c>
      <c r="P11" s="6">
        <f>P7*P9</f>
        <v/>
      </c>
      <c r="Q11" s="6">
        <f>Q7*Q9</f>
        <v/>
      </c>
      <c r="R11" s="6">
        <f>R7*R9</f>
        <v/>
      </c>
      <c r="S11" s="6">
        <f>S7*S9</f>
        <v/>
      </c>
      <c r="T11" s="6">
        <f>T7*T9</f>
        <v/>
      </c>
      <c r="U11" s="6">
        <f>U7*U9</f>
        <v/>
      </c>
      <c r="V11" s="6">
        <f>V7*V9</f>
        <v/>
      </c>
      <c r="W11" s="6">
        <f>W7*W9</f>
        <v/>
      </c>
      <c r="X11" s="6">
        <f>X7*X9</f>
        <v/>
      </c>
      <c r="Y11" s="6">
        <f>Y7*Y9</f>
        <v/>
      </c>
      <c r="Z11" s="6">
        <f>Z7*Z9</f>
        <v/>
      </c>
      <c r="AA11" s="6">
        <f>AA7*AA9</f>
        <v/>
      </c>
      <c r="AB11" s="6">
        <f>AB7*AB9</f>
        <v/>
      </c>
      <c r="AC11" s="6">
        <f>AC7*AC9</f>
        <v/>
      </c>
      <c r="AD11" s="6">
        <f>AD7*AD9</f>
        <v/>
      </c>
      <c r="AE11" s="6">
        <f>AE7*AE9</f>
        <v/>
      </c>
      <c r="AF11" s="6">
        <f>AF7*AF9</f>
        <v/>
      </c>
      <c r="AG11" s="6">
        <f>AG7*AG9</f>
        <v/>
      </c>
      <c r="AH11" s="6">
        <f>AH7*AH9</f>
        <v/>
      </c>
      <c r="AI11" s="6">
        <f>AI7*AI9</f>
        <v/>
      </c>
      <c r="AJ11" s="6">
        <f>AJ7*AJ9</f>
        <v/>
      </c>
      <c r="AK11" s="6">
        <f>AK7*AK9</f>
        <v/>
      </c>
      <c r="AL11" s="6">
        <f>AL7*AL9</f>
        <v/>
      </c>
      <c r="AM11" s="6">
        <f>AL13</f>
        <v/>
      </c>
    </row>
    <row r="12" ht="25" customHeight="1">
      <c r="A12" s="30" t="inlineStr">
        <is>
          <t>Revenue</t>
        </is>
      </c>
      <c r="B12" s="30" t="inlineStr">
        <is>
          <t>ARR</t>
        </is>
      </c>
      <c r="C12" s="6">
        <f>C11*12</f>
        <v/>
      </c>
      <c r="D12" s="6">
        <f>D11*12</f>
        <v/>
      </c>
      <c r="E12" s="6">
        <f>E11*12</f>
        <v/>
      </c>
      <c r="F12" s="6">
        <f>F11*12</f>
        <v/>
      </c>
      <c r="G12" s="6">
        <f>G11*12</f>
        <v/>
      </c>
      <c r="H12" s="6">
        <f>H11*12</f>
        <v/>
      </c>
      <c r="I12" s="6">
        <f>I11*12</f>
        <v/>
      </c>
      <c r="J12" s="6">
        <f>J11*12</f>
        <v/>
      </c>
      <c r="K12" s="6">
        <f>K11*12</f>
        <v/>
      </c>
      <c r="L12" s="6">
        <f>L11*12</f>
        <v/>
      </c>
      <c r="M12" s="6">
        <f>M11*12</f>
        <v/>
      </c>
      <c r="N12" s="6">
        <f>N11*12</f>
        <v/>
      </c>
      <c r="O12" s="6">
        <f>O11*12</f>
        <v/>
      </c>
      <c r="P12" s="6">
        <f>P11*12</f>
        <v/>
      </c>
      <c r="Q12" s="6">
        <f>Q11*12</f>
        <v/>
      </c>
      <c r="R12" s="6">
        <f>R11*12</f>
        <v/>
      </c>
      <c r="S12" s="6">
        <f>S11*12</f>
        <v/>
      </c>
      <c r="T12" s="6">
        <f>T11*12</f>
        <v/>
      </c>
      <c r="U12" s="6">
        <f>U11*12</f>
        <v/>
      </c>
      <c r="V12" s="6">
        <f>V11*12</f>
        <v/>
      </c>
      <c r="W12" s="6">
        <f>W11*12</f>
        <v/>
      </c>
      <c r="X12" s="6">
        <f>X11*12</f>
        <v/>
      </c>
      <c r="Y12" s="6">
        <f>Y11*12</f>
        <v/>
      </c>
      <c r="Z12" s="6">
        <f>Z11*12</f>
        <v/>
      </c>
      <c r="AA12" s="6">
        <f>AA11*12</f>
        <v/>
      </c>
      <c r="AB12" s="6">
        <f>AB11*12</f>
        <v/>
      </c>
      <c r="AC12" s="6">
        <f>AC11*12</f>
        <v/>
      </c>
      <c r="AD12" s="6">
        <f>AD11*12</f>
        <v/>
      </c>
      <c r="AE12" s="6">
        <f>AE11*12</f>
        <v/>
      </c>
      <c r="AF12" s="6">
        <f>AF11*12</f>
        <v/>
      </c>
      <c r="AG12" s="6">
        <f>AG11*12</f>
        <v/>
      </c>
      <c r="AH12" s="6">
        <f>AH11*12</f>
        <v/>
      </c>
      <c r="AI12" s="6">
        <f>AI11*12</f>
        <v/>
      </c>
      <c r="AJ12" s="6">
        <f>AJ11*12</f>
        <v/>
      </c>
      <c r="AK12" s="6">
        <f>AK11*12</f>
        <v/>
      </c>
      <c r="AL12" s="6">
        <f>AL11*12</f>
        <v/>
      </c>
      <c r="AM12" s="6">
        <f>AL14</f>
        <v/>
      </c>
    </row>
    <row r="13" ht="25" customHeight="1">
      <c r="A13" s="31" t="inlineStr">
        <is>
          <t>Research &amp; Development</t>
        </is>
      </c>
      <c r="B13" s="31" t="inlineStr">
        <is>
          <t>Expense category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  <c r="AD13" s="32" t="n"/>
      <c r="AE13" s="32" t="n"/>
      <c r="AF13" s="32" t="n"/>
      <c r="AG13" s="32" t="n"/>
      <c r="AH13" s="32" t="n"/>
      <c r="AI13" s="32" t="n"/>
      <c r="AJ13" s="32" t="n"/>
      <c r="AK13" s="32" t="n"/>
      <c r="AL13" s="32" t="n"/>
      <c r="AM13" s="32" t="n"/>
    </row>
    <row r="14" ht="25" customHeight="1">
      <c r="A14" s="33" t="inlineStr">
        <is>
          <t>Research &amp; Development</t>
        </is>
      </c>
      <c r="B14" s="33" t="inlineStr">
        <is>
          <t>Achela developer</t>
        </is>
      </c>
      <c r="C14" s="6">
        <f>'Assumptions'!C82</f>
        <v/>
      </c>
      <c r="D14" s="6">
        <f>'Assumptions'!D82</f>
        <v/>
      </c>
      <c r="E14" s="6">
        <f>'Assumptions'!E82</f>
        <v/>
      </c>
      <c r="F14" s="6">
        <f>'Assumptions'!F82</f>
        <v/>
      </c>
      <c r="G14" s="6">
        <f>'Assumptions'!G82</f>
        <v/>
      </c>
      <c r="H14" s="6">
        <f>'Assumptions'!H82</f>
        <v/>
      </c>
      <c r="I14" s="6">
        <f>'Assumptions'!I82</f>
        <v/>
      </c>
      <c r="J14" s="6">
        <f>'Assumptions'!J82</f>
        <v/>
      </c>
      <c r="K14" s="6">
        <f>'Assumptions'!K82</f>
        <v/>
      </c>
      <c r="L14" s="6">
        <f>'Assumptions'!L82</f>
        <v/>
      </c>
      <c r="M14" s="6">
        <f>'Assumptions'!M82</f>
        <v/>
      </c>
      <c r="N14" s="6">
        <f>'Assumptions'!N82</f>
        <v/>
      </c>
      <c r="O14" s="6">
        <f>'Assumptions'!O82</f>
        <v/>
      </c>
      <c r="P14" s="6">
        <f>'Assumptions'!P82</f>
        <v/>
      </c>
      <c r="Q14" s="6">
        <f>'Assumptions'!Q82</f>
        <v/>
      </c>
      <c r="R14" s="6">
        <f>'Assumptions'!R82</f>
        <v/>
      </c>
      <c r="S14" s="6">
        <f>'Assumptions'!S82</f>
        <v/>
      </c>
      <c r="T14" s="6">
        <f>'Assumptions'!T82</f>
        <v/>
      </c>
      <c r="U14" s="6">
        <f>'Assumptions'!U82</f>
        <v/>
      </c>
      <c r="V14" s="6">
        <f>'Assumptions'!V82</f>
        <v/>
      </c>
      <c r="W14" s="6">
        <f>'Assumptions'!W82</f>
        <v/>
      </c>
      <c r="X14" s="6">
        <f>'Assumptions'!X82</f>
        <v/>
      </c>
      <c r="Y14" s="6">
        <f>'Assumptions'!Y82</f>
        <v/>
      </c>
      <c r="Z14" s="6">
        <f>'Assumptions'!Z82</f>
        <v/>
      </c>
      <c r="AA14" s="6">
        <f>'Assumptions'!AA82</f>
        <v/>
      </c>
      <c r="AB14" s="6">
        <f>'Assumptions'!AB82</f>
        <v/>
      </c>
      <c r="AC14" s="6">
        <f>'Assumptions'!AC82</f>
        <v/>
      </c>
      <c r="AD14" s="6">
        <f>'Assumptions'!AD82</f>
        <v/>
      </c>
      <c r="AE14" s="6">
        <f>'Assumptions'!AE82</f>
        <v/>
      </c>
      <c r="AF14" s="6">
        <f>'Assumptions'!AF82</f>
        <v/>
      </c>
      <c r="AG14" s="6">
        <f>'Assumptions'!AG82</f>
        <v/>
      </c>
      <c r="AH14" s="6">
        <f>'Assumptions'!AH82</f>
        <v/>
      </c>
      <c r="AI14" s="6">
        <f>'Assumptions'!AI82</f>
        <v/>
      </c>
      <c r="AJ14" s="6">
        <f>'Assumptions'!AJ82</f>
        <v/>
      </c>
      <c r="AK14" s="6">
        <f>'Assumptions'!AK82</f>
        <v/>
      </c>
      <c r="AL14" s="6">
        <f>'Assumptions'!AL82</f>
        <v/>
      </c>
      <c r="AM14" s="6">
        <f>SUM(C16:AL16)</f>
        <v/>
      </c>
    </row>
    <row r="15" ht="28" customHeight="1">
      <c r="A15" s="33" t="inlineStr">
        <is>
          <t>Research &amp; Development</t>
        </is>
      </c>
      <c r="B15" s="33" t="inlineStr">
        <is>
          <t>IT / servers</t>
        </is>
      </c>
      <c r="C15" s="6">
        <f>'Assumptions'!C83</f>
        <v/>
      </c>
      <c r="D15" s="6">
        <f>'Assumptions'!D83</f>
        <v/>
      </c>
      <c r="E15" s="6">
        <f>'Assumptions'!E83</f>
        <v/>
      </c>
      <c r="F15" s="6">
        <f>'Assumptions'!F83</f>
        <v/>
      </c>
      <c r="G15" s="6">
        <f>'Assumptions'!G83</f>
        <v/>
      </c>
      <c r="H15" s="6">
        <f>'Assumptions'!H83</f>
        <v/>
      </c>
      <c r="I15" s="6">
        <f>'Assumptions'!I83</f>
        <v/>
      </c>
      <c r="J15" s="6">
        <f>'Assumptions'!J83</f>
        <v/>
      </c>
      <c r="K15" s="6">
        <f>'Assumptions'!K83</f>
        <v/>
      </c>
      <c r="L15" s="6">
        <f>'Assumptions'!L83</f>
        <v/>
      </c>
      <c r="M15" s="6">
        <f>'Assumptions'!M83</f>
        <v/>
      </c>
      <c r="N15" s="6">
        <f>'Assumptions'!N83</f>
        <v/>
      </c>
      <c r="O15" s="6">
        <f>'Assumptions'!O83</f>
        <v/>
      </c>
      <c r="P15" s="6">
        <f>'Assumptions'!P83</f>
        <v/>
      </c>
      <c r="Q15" s="6">
        <f>'Assumptions'!Q83</f>
        <v/>
      </c>
      <c r="R15" s="6">
        <f>'Assumptions'!R83</f>
        <v/>
      </c>
      <c r="S15" s="6">
        <f>'Assumptions'!S83</f>
        <v/>
      </c>
      <c r="T15" s="6">
        <f>'Assumptions'!T83</f>
        <v/>
      </c>
      <c r="U15" s="6">
        <f>'Assumptions'!U83</f>
        <v/>
      </c>
      <c r="V15" s="6">
        <f>'Assumptions'!V83</f>
        <v/>
      </c>
      <c r="W15" s="6">
        <f>'Assumptions'!W83</f>
        <v/>
      </c>
      <c r="X15" s="6">
        <f>'Assumptions'!X83</f>
        <v/>
      </c>
      <c r="Y15" s="6">
        <f>'Assumptions'!Y83</f>
        <v/>
      </c>
      <c r="Z15" s="6">
        <f>'Assumptions'!Z83</f>
        <v/>
      </c>
      <c r="AA15" s="6">
        <f>'Assumptions'!AA83</f>
        <v/>
      </c>
      <c r="AB15" s="6">
        <f>'Assumptions'!AB83</f>
        <v/>
      </c>
      <c r="AC15" s="6">
        <f>'Assumptions'!AC83</f>
        <v/>
      </c>
      <c r="AD15" s="6">
        <f>'Assumptions'!AD83</f>
        <v/>
      </c>
      <c r="AE15" s="6">
        <f>'Assumptions'!AE83</f>
        <v/>
      </c>
      <c r="AF15" s="6">
        <f>'Assumptions'!AF83</f>
        <v/>
      </c>
      <c r="AG15" s="6">
        <f>'Assumptions'!AG83</f>
        <v/>
      </c>
      <c r="AH15" s="6">
        <f>'Assumptions'!AH83</f>
        <v/>
      </c>
      <c r="AI15" s="6">
        <f>'Assumptions'!AI83</f>
        <v/>
      </c>
      <c r="AJ15" s="6">
        <f>'Assumptions'!AJ83</f>
        <v/>
      </c>
      <c r="AK15" s="6">
        <f>'Assumptions'!AK83</f>
        <v/>
      </c>
      <c r="AL15" s="6">
        <f>'Assumptions'!AL83</f>
        <v/>
      </c>
      <c r="AM15" s="6">
        <f>SUM(C17:AL17)</f>
        <v/>
      </c>
    </row>
    <row r="16" outlineLevel="1" ht="25" customHeight="1">
      <c r="A16" s="33" t="inlineStr">
        <is>
          <t>Research &amp; Development</t>
        </is>
      </c>
      <c r="B16" s="33" t="inlineStr">
        <is>
          <t>AI tools</t>
        </is>
      </c>
      <c r="C16" s="6">
        <f>'Assumptions'!C84</f>
        <v/>
      </c>
      <c r="D16" s="6">
        <f>'Assumptions'!D84</f>
        <v/>
      </c>
      <c r="E16" s="6">
        <f>'Assumptions'!E84</f>
        <v/>
      </c>
      <c r="F16" s="6">
        <f>'Assumptions'!F84</f>
        <v/>
      </c>
      <c r="G16" s="6">
        <f>'Assumptions'!G84</f>
        <v/>
      </c>
      <c r="H16" s="6">
        <f>'Assumptions'!H84</f>
        <v/>
      </c>
      <c r="I16" s="6">
        <f>'Assumptions'!I84</f>
        <v/>
      </c>
      <c r="J16" s="6">
        <f>'Assumptions'!J84</f>
        <v/>
      </c>
      <c r="K16" s="6">
        <f>'Assumptions'!K84</f>
        <v/>
      </c>
      <c r="L16" s="6">
        <f>'Assumptions'!L84</f>
        <v/>
      </c>
      <c r="M16" s="6">
        <f>'Assumptions'!M84</f>
        <v/>
      </c>
      <c r="N16" s="6">
        <f>'Assumptions'!N84</f>
        <v/>
      </c>
      <c r="O16" s="6">
        <f>'Assumptions'!O84</f>
        <v/>
      </c>
      <c r="P16" s="6">
        <f>'Assumptions'!P84</f>
        <v/>
      </c>
      <c r="Q16" s="6">
        <f>'Assumptions'!Q84</f>
        <v/>
      </c>
      <c r="R16" s="6">
        <f>'Assumptions'!R84</f>
        <v/>
      </c>
      <c r="S16" s="6">
        <f>'Assumptions'!S84</f>
        <v/>
      </c>
      <c r="T16" s="6">
        <f>'Assumptions'!T84</f>
        <v/>
      </c>
      <c r="U16" s="6">
        <f>'Assumptions'!U84</f>
        <v/>
      </c>
      <c r="V16" s="6">
        <f>'Assumptions'!V84</f>
        <v/>
      </c>
      <c r="W16" s="6">
        <f>'Assumptions'!W84</f>
        <v/>
      </c>
      <c r="X16" s="6">
        <f>'Assumptions'!X84</f>
        <v/>
      </c>
      <c r="Y16" s="6">
        <f>'Assumptions'!Y84</f>
        <v/>
      </c>
      <c r="Z16" s="6">
        <f>'Assumptions'!Z84</f>
        <v/>
      </c>
      <c r="AA16" s="6">
        <f>'Assumptions'!AA84</f>
        <v/>
      </c>
      <c r="AB16" s="6">
        <f>'Assumptions'!AB84</f>
        <v/>
      </c>
      <c r="AC16" s="6">
        <f>'Assumptions'!AC84</f>
        <v/>
      </c>
      <c r="AD16" s="6">
        <f>'Assumptions'!AD84</f>
        <v/>
      </c>
      <c r="AE16" s="6">
        <f>'Assumptions'!AE84</f>
        <v/>
      </c>
      <c r="AF16" s="6">
        <f>'Assumptions'!AF84</f>
        <v/>
      </c>
      <c r="AG16" s="6">
        <f>'Assumptions'!AG84</f>
        <v/>
      </c>
      <c r="AH16" s="6">
        <f>'Assumptions'!AH84</f>
        <v/>
      </c>
      <c r="AI16" s="6">
        <f>'Assumptions'!AI84</f>
        <v/>
      </c>
      <c r="AJ16" s="6">
        <f>'Assumptions'!AJ84</f>
        <v/>
      </c>
      <c r="AK16" s="6">
        <f>'Assumptions'!AK84</f>
        <v/>
      </c>
      <c r="AL16" s="6">
        <f>'Assumptions'!AL84</f>
        <v/>
      </c>
      <c r="AM16" s="6">
        <f>SUM(C18:AL18)</f>
        <v/>
      </c>
    </row>
    <row r="17" outlineLevel="1" ht="25" customHeight="1">
      <c r="A17" s="31" t="inlineStr">
        <is>
          <t>Marketing &amp; Sales</t>
        </is>
      </c>
      <c r="B17" s="31" t="inlineStr">
        <is>
          <t>Expense category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2" t="n"/>
      <c r="AD17" s="32" t="n"/>
      <c r="AE17" s="32" t="n"/>
      <c r="AF17" s="32" t="n"/>
      <c r="AG17" s="32" t="n"/>
      <c r="AH17" s="32" t="n"/>
      <c r="AI17" s="32" t="n"/>
      <c r="AJ17" s="32" t="n"/>
      <c r="AK17" s="32" t="n"/>
      <c r="AL17" s="32" t="n"/>
      <c r="AM17" s="32" t="n"/>
    </row>
    <row r="18" outlineLevel="1" ht="25" customHeight="1">
      <c r="A18" s="33" t="inlineStr">
        <is>
          <t>Marketing &amp; Sales</t>
        </is>
      </c>
      <c r="B18" s="33" t="inlineStr">
        <is>
          <t>Campaigns</t>
        </is>
      </c>
      <c r="C18" s="6">
        <f>'Assumptions'!C85</f>
        <v/>
      </c>
      <c r="D18" s="6">
        <f>'Assumptions'!D85</f>
        <v/>
      </c>
      <c r="E18" s="6">
        <f>'Assumptions'!E85</f>
        <v/>
      </c>
      <c r="F18" s="6">
        <f>'Assumptions'!F85</f>
        <v/>
      </c>
      <c r="G18" s="6">
        <f>'Assumptions'!G85</f>
        <v/>
      </c>
      <c r="H18" s="6">
        <f>'Assumptions'!H85</f>
        <v/>
      </c>
      <c r="I18" s="6">
        <f>'Assumptions'!I85</f>
        <v/>
      </c>
      <c r="J18" s="6">
        <f>'Assumptions'!J85</f>
        <v/>
      </c>
      <c r="K18" s="6">
        <f>'Assumptions'!K85</f>
        <v/>
      </c>
      <c r="L18" s="6">
        <f>'Assumptions'!L85</f>
        <v/>
      </c>
      <c r="M18" s="6">
        <f>'Assumptions'!M85</f>
        <v/>
      </c>
      <c r="N18" s="6">
        <f>'Assumptions'!N85</f>
        <v/>
      </c>
      <c r="O18" s="6">
        <f>'Assumptions'!O85</f>
        <v/>
      </c>
      <c r="P18" s="6">
        <f>'Assumptions'!P85</f>
        <v/>
      </c>
      <c r="Q18" s="6">
        <f>'Assumptions'!Q85</f>
        <v/>
      </c>
      <c r="R18" s="6">
        <f>'Assumptions'!R85</f>
        <v/>
      </c>
      <c r="S18" s="6">
        <f>'Assumptions'!S85</f>
        <v/>
      </c>
      <c r="T18" s="6">
        <f>'Assumptions'!T85</f>
        <v/>
      </c>
      <c r="U18" s="6">
        <f>'Assumptions'!U85</f>
        <v/>
      </c>
      <c r="V18" s="6">
        <f>'Assumptions'!V85</f>
        <v/>
      </c>
      <c r="W18" s="6">
        <f>'Assumptions'!W85</f>
        <v/>
      </c>
      <c r="X18" s="6">
        <f>'Assumptions'!X85</f>
        <v/>
      </c>
      <c r="Y18" s="6">
        <f>'Assumptions'!Y85</f>
        <v/>
      </c>
      <c r="Z18" s="6">
        <f>'Assumptions'!Z85</f>
        <v/>
      </c>
      <c r="AA18" s="6">
        <f>'Assumptions'!AA85</f>
        <v/>
      </c>
      <c r="AB18" s="6">
        <f>'Assumptions'!AB85</f>
        <v/>
      </c>
      <c r="AC18" s="6">
        <f>'Assumptions'!AC85</f>
        <v/>
      </c>
      <c r="AD18" s="6">
        <f>'Assumptions'!AD85</f>
        <v/>
      </c>
      <c r="AE18" s="6">
        <f>'Assumptions'!AE85</f>
        <v/>
      </c>
      <c r="AF18" s="6">
        <f>'Assumptions'!AF85</f>
        <v/>
      </c>
      <c r="AG18" s="6">
        <f>'Assumptions'!AG85</f>
        <v/>
      </c>
      <c r="AH18" s="6">
        <f>'Assumptions'!AH85</f>
        <v/>
      </c>
      <c r="AI18" s="6">
        <f>'Assumptions'!AI85</f>
        <v/>
      </c>
      <c r="AJ18" s="6">
        <f>'Assumptions'!AJ85</f>
        <v/>
      </c>
      <c r="AK18" s="6">
        <f>'Assumptions'!AK85</f>
        <v/>
      </c>
      <c r="AL18" s="6">
        <f>'Assumptions'!AL85</f>
        <v/>
      </c>
      <c r="AM18" s="6">
        <f>SUM(C20:AL20)</f>
        <v/>
      </c>
    </row>
    <row r="19" ht="25" customHeight="1">
      <c r="A19" s="33" t="inlineStr">
        <is>
          <t>Marketing &amp; Sales</t>
        </is>
      </c>
      <c r="B19" s="33" t="inlineStr">
        <is>
          <t>Marketing Acquisition Spend</t>
        </is>
      </c>
      <c r="C19" s="6">
        <f>SUM(C18,C20:C21,C23)</f>
        <v/>
      </c>
      <c r="D19" s="6">
        <f>SUM(D18,D20:D21,D23)</f>
        <v/>
      </c>
      <c r="E19" s="6">
        <f>SUM(E18,E20:E21,E23)</f>
        <v/>
      </c>
      <c r="F19" s="6">
        <f>SUM(F18,F20:F21,F23)</f>
        <v/>
      </c>
      <c r="G19" s="6">
        <f>SUM(G18,G20:G21,G23)</f>
        <v/>
      </c>
      <c r="H19" s="6">
        <f>SUM(H18,H20:H21,H23)</f>
        <v/>
      </c>
      <c r="I19" s="6">
        <f>SUM(I18,I20:I21,I23)</f>
        <v/>
      </c>
      <c r="J19" s="6">
        <f>SUM(J18,J20:J21,J23)</f>
        <v/>
      </c>
      <c r="K19" s="6">
        <f>SUM(K18,K20:K21,K23)</f>
        <v/>
      </c>
      <c r="L19" s="6">
        <f>SUM(L18,L20:L21,L23)</f>
        <v/>
      </c>
      <c r="M19" s="6">
        <f>SUM(M18,M20:M21,M23)</f>
        <v/>
      </c>
      <c r="N19" s="6">
        <f>SUM(N18,N20:N21,N23)</f>
        <v/>
      </c>
      <c r="O19" s="6">
        <f>SUM(O18,O20:O21,O23)</f>
        <v/>
      </c>
      <c r="P19" s="6">
        <f>SUM(P18,P20:P21,P23)</f>
        <v/>
      </c>
      <c r="Q19" s="6">
        <f>SUM(Q18,Q20:Q21,Q23)</f>
        <v/>
      </c>
      <c r="R19" s="6">
        <f>SUM(R18,R20:R21,R23)</f>
        <v/>
      </c>
      <c r="S19" s="6">
        <f>SUM(S18,S20:S21,S23)</f>
        <v/>
      </c>
      <c r="T19" s="6">
        <f>SUM(T18,T20:T21,T23)</f>
        <v/>
      </c>
      <c r="U19" s="6">
        <f>SUM(U18,U20:U21,U23)</f>
        <v/>
      </c>
      <c r="V19" s="6">
        <f>SUM(V18,V20:V21,V23)</f>
        <v/>
      </c>
      <c r="W19" s="6">
        <f>SUM(W18,W20:W21,W23)</f>
        <v/>
      </c>
      <c r="X19" s="6">
        <f>SUM(X18,X20:X21,X23)</f>
        <v/>
      </c>
      <c r="Y19" s="6">
        <f>SUM(Y18,Y20:Y21,Y23)</f>
        <v/>
      </c>
      <c r="Z19" s="6">
        <f>SUM(Z18,Z20:Z21,Z23)</f>
        <v/>
      </c>
      <c r="AA19" s="6">
        <f>SUM(AA18,AA20:AA21,AA23)</f>
        <v/>
      </c>
      <c r="AB19" s="6">
        <f>SUM(AB18,AB20:AB21,AB23)</f>
        <v/>
      </c>
      <c r="AC19" s="6">
        <f>SUM(AC18,AC20:AC21,AC23)</f>
        <v/>
      </c>
      <c r="AD19" s="6">
        <f>SUM(AD18,AD20:AD21,AD23)</f>
        <v/>
      </c>
      <c r="AE19" s="6">
        <f>SUM(AE18,AE20:AE21,AE23)</f>
        <v/>
      </c>
      <c r="AF19" s="6">
        <f>SUM(AF18,AF20:AF21,AF23)</f>
        <v/>
      </c>
      <c r="AG19" s="6">
        <f>SUM(AG18,AG20:AG21,AG23)</f>
        <v/>
      </c>
      <c r="AH19" s="6">
        <f>SUM(AH18,AH20:AH21,AH23)</f>
        <v/>
      </c>
      <c r="AI19" s="6">
        <f>SUM(AI18,AI20:AI21,AI23)</f>
        <v/>
      </c>
      <c r="AJ19" s="6">
        <f>SUM(AJ18,AJ20:AJ21,AJ23)</f>
        <v/>
      </c>
      <c r="AK19" s="6">
        <f>SUM(AK18,AK20:AK21,AK23)</f>
        <v/>
      </c>
      <c r="AL19" s="6">
        <f>SUM(AL18,AL20:AL21,AL23)</f>
        <v/>
      </c>
      <c r="AM19" s="6" t="n"/>
    </row>
    <row r="20" outlineLevel="1" ht="25" customHeight="1">
      <c r="A20" s="33" t="inlineStr">
        <is>
          <t>Marketing &amp; Sales</t>
        </is>
      </c>
      <c r="B20" s="33" t="inlineStr">
        <is>
          <t>Campaign manager</t>
        </is>
      </c>
      <c r="C20" s="6">
        <f>'Assumptions'!C86</f>
        <v/>
      </c>
      <c r="D20" s="6">
        <f>'Assumptions'!D86</f>
        <v/>
      </c>
      <c r="E20" s="6">
        <f>'Assumptions'!E86</f>
        <v/>
      </c>
      <c r="F20" s="6">
        <f>'Assumptions'!F86</f>
        <v/>
      </c>
      <c r="G20" s="6">
        <f>'Assumptions'!G86</f>
        <v/>
      </c>
      <c r="H20" s="6">
        <f>'Assumptions'!H86</f>
        <v/>
      </c>
      <c r="I20" s="6">
        <f>'Assumptions'!I86</f>
        <v/>
      </c>
      <c r="J20" s="6">
        <f>'Assumptions'!J86</f>
        <v/>
      </c>
      <c r="K20" s="6">
        <f>'Assumptions'!K86</f>
        <v/>
      </c>
      <c r="L20" s="6">
        <f>'Assumptions'!L86</f>
        <v/>
      </c>
      <c r="M20" s="6">
        <f>'Assumptions'!M86</f>
        <v/>
      </c>
      <c r="N20" s="6">
        <f>'Assumptions'!N86</f>
        <v/>
      </c>
      <c r="O20" s="6">
        <f>'Assumptions'!O86</f>
        <v/>
      </c>
      <c r="P20" s="6">
        <f>'Assumptions'!P86</f>
        <v/>
      </c>
      <c r="Q20" s="6">
        <f>'Assumptions'!Q86</f>
        <v/>
      </c>
      <c r="R20" s="6">
        <f>'Assumptions'!R86</f>
        <v/>
      </c>
      <c r="S20" s="6">
        <f>'Assumptions'!S86</f>
        <v/>
      </c>
      <c r="T20" s="6">
        <f>'Assumptions'!T86</f>
        <v/>
      </c>
      <c r="U20" s="6">
        <f>'Assumptions'!U86</f>
        <v/>
      </c>
      <c r="V20" s="6">
        <f>'Assumptions'!V86</f>
        <v/>
      </c>
      <c r="W20" s="6">
        <f>'Assumptions'!W86</f>
        <v/>
      </c>
      <c r="X20" s="6">
        <f>'Assumptions'!X86</f>
        <v/>
      </c>
      <c r="Y20" s="6">
        <f>'Assumptions'!Y86</f>
        <v/>
      </c>
      <c r="Z20" s="6">
        <f>'Assumptions'!Z86</f>
        <v/>
      </c>
      <c r="AA20" s="6">
        <f>'Assumptions'!AA86</f>
        <v/>
      </c>
      <c r="AB20" s="6">
        <f>'Assumptions'!AB86</f>
        <v/>
      </c>
      <c r="AC20" s="6">
        <f>'Assumptions'!AC86</f>
        <v/>
      </c>
      <c r="AD20" s="6">
        <f>'Assumptions'!AD86</f>
        <v/>
      </c>
      <c r="AE20" s="6">
        <f>'Assumptions'!AE86</f>
        <v/>
      </c>
      <c r="AF20" s="6">
        <f>'Assumptions'!AF86</f>
        <v/>
      </c>
      <c r="AG20" s="6">
        <f>'Assumptions'!AG86</f>
        <v/>
      </c>
      <c r="AH20" s="6">
        <f>'Assumptions'!AH86</f>
        <v/>
      </c>
      <c r="AI20" s="6">
        <f>'Assumptions'!AI86</f>
        <v/>
      </c>
      <c r="AJ20" s="6">
        <f>'Assumptions'!AJ86</f>
        <v/>
      </c>
      <c r="AK20" s="6">
        <f>'Assumptions'!AK86</f>
        <v/>
      </c>
      <c r="AL20" s="6">
        <f>'Assumptions'!AL86</f>
        <v/>
      </c>
      <c r="AM20" s="6">
        <f>SUM(C21:AL21)</f>
        <v/>
      </c>
    </row>
    <row r="21" outlineLevel="1" ht="25" customHeight="1">
      <c r="A21" s="33" t="inlineStr">
        <is>
          <t>Marketing &amp; Sales</t>
        </is>
      </c>
      <c r="B21" s="33" t="inlineStr">
        <is>
          <t>Content creation</t>
        </is>
      </c>
      <c r="C21" s="6">
        <f>'Assumptions'!C87</f>
        <v/>
      </c>
      <c r="D21" s="6">
        <f>'Assumptions'!D87</f>
        <v/>
      </c>
      <c r="E21" s="6">
        <f>'Assumptions'!E87</f>
        <v/>
      </c>
      <c r="F21" s="6">
        <f>'Assumptions'!F87</f>
        <v/>
      </c>
      <c r="G21" s="6">
        <f>'Assumptions'!G87</f>
        <v/>
      </c>
      <c r="H21" s="6">
        <f>'Assumptions'!H87</f>
        <v/>
      </c>
      <c r="I21" s="6">
        <f>'Assumptions'!I87</f>
        <v/>
      </c>
      <c r="J21" s="6">
        <f>'Assumptions'!J87</f>
        <v/>
      </c>
      <c r="K21" s="6">
        <f>'Assumptions'!K87</f>
        <v/>
      </c>
      <c r="L21" s="6">
        <f>'Assumptions'!L87</f>
        <v/>
      </c>
      <c r="M21" s="6">
        <f>'Assumptions'!M87</f>
        <v/>
      </c>
      <c r="N21" s="6">
        <f>'Assumptions'!N87</f>
        <v/>
      </c>
      <c r="O21" s="6">
        <f>'Assumptions'!O87</f>
        <v/>
      </c>
      <c r="P21" s="6">
        <f>'Assumptions'!P87</f>
        <v/>
      </c>
      <c r="Q21" s="6">
        <f>'Assumptions'!Q87</f>
        <v/>
      </c>
      <c r="R21" s="6">
        <f>'Assumptions'!R87</f>
        <v/>
      </c>
      <c r="S21" s="6">
        <f>'Assumptions'!S87</f>
        <v/>
      </c>
      <c r="T21" s="6">
        <f>'Assumptions'!T87</f>
        <v/>
      </c>
      <c r="U21" s="6">
        <f>'Assumptions'!U87</f>
        <v/>
      </c>
      <c r="V21" s="6">
        <f>'Assumptions'!V87</f>
        <v/>
      </c>
      <c r="W21" s="6">
        <f>'Assumptions'!W87</f>
        <v/>
      </c>
      <c r="X21" s="6">
        <f>'Assumptions'!X87</f>
        <v/>
      </c>
      <c r="Y21" s="6">
        <f>'Assumptions'!Y87</f>
        <v/>
      </c>
      <c r="Z21" s="6">
        <f>'Assumptions'!Z87</f>
        <v/>
      </c>
      <c r="AA21" s="6">
        <f>'Assumptions'!AA87</f>
        <v/>
      </c>
      <c r="AB21" s="6">
        <f>'Assumptions'!AB87</f>
        <v/>
      </c>
      <c r="AC21" s="6">
        <f>'Assumptions'!AC87</f>
        <v/>
      </c>
      <c r="AD21" s="6">
        <f>'Assumptions'!AD87</f>
        <v/>
      </c>
      <c r="AE21" s="6">
        <f>'Assumptions'!AE87</f>
        <v/>
      </c>
      <c r="AF21" s="6">
        <f>'Assumptions'!AF87</f>
        <v/>
      </c>
      <c r="AG21" s="6">
        <f>'Assumptions'!AG87</f>
        <v/>
      </c>
      <c r="AH21" s="6">
        <f>'Assumptions'!AH87</f>
        <v/>
      </c>
      <c r="AI21" s="6">
        <f>'Assumptions'!AI87</f>
        <v/>
      </c>
      <c r="AJ21" s="6">
        <f>'Assumptions'!AJ87</f>
        <v/>
      </c>
      <c r="AK21" s="6">
        <f>'Assumptions'!AK87</f>
        <v/>
      </c>
      <c r="AL21" s="6">
        <f>'Assumptions'!AL87</f>
        <v/>
      </c>
      <c r="AM21" s="6">
        <f>SUM(C22:AL22)</f>
        <v/>
      </c>
    </row>
    <row r="22" outlineLevel="1" ht="25" customHeight="1">
      <c r="A22" s="33" t="inlineStr">
        <is>
          <t>Marketing &amp; Sales</t>
        </is>
      </c>
      <c r="B22" s="33" t="inlineStr">
        <is>
          <t>Triple Bundle equipment</t>
        </is>
      </c>
      <c r="C22" s="6">
        <f>C5*'Assumptions'!C88</f>
        <v/>
      </c>
      <c r="D22" s="6">
        <f>D5*'Assumptions'!D88</f>
        <v/>
      </c>
      <c r="E22" s="6">
        <f>E5*'Assumptions'!E88</f>
        <v/>
      </c>
      <c r="F22" s="6">
        <f>F5*'Assumptions'!F88</f>
        <v/>
      </c>
      <c r="G22" s="6">
        <f>G5*'Assumptions'!G88</f>
        <v/>
      </c>
      <c r="H22" s="6">
        <f>H5*'Assumptions'!H88</f>
        <v/>
      </c>
      <c r="I22" s="6">
        <f>I5*'Assumptions'!I88</f>
        <v/>
      </c>
      <c r="J22" s="6">
        <f>J5*'Assumptions'!J88</f>
        <v/>
      </c>
      <c r="K22" s="6">
        <f>K5*'Assumptions'!K88</f>
        <v/>
      </c>
      <c r="L22" s="6">
        <f>L5*'Assumptions'!L88</f>
        <v/>
      </c>
      <c r="M22" s="6">
        <f>M5*'Assumptions'!M88</f>
        <v/>
      </c>
      <c r="N22" s="6">
        <f>N5*'Assumptions'!N88</f>
        <v/>
      </c>
      <c r="O22" s="6">
        <f>O5*'Assumptions'!O88</f>
        <v/>
      </c>
      <c r="P22" s="6">
        <f>P5*'Assumptions'!P88</f>
        <v/>
      </c>
      <c r="Q22" s="6">
        <f>Q5*'Assumptions'!Q88</f>
        <v/>
      </c>
      <c r="R22" s="6">
        <f>R5*'Assumptions'!R88</f>
        <v/>
      </c>
      <c r="S22" s="6">
        <f>S5*'Assumptions'!S88</f>
        <v/>
      </c>
      <c r="T22" s="6">
        <f>T5*'Assumptions'!T88</f>
        <v/>
      </c>
      <c r="U22" s="6">
        <f>U5*'Assumptions'!U88</f>
        <v/>
      </c>
      <c r="V22" s="6">
        <f>V5*'Assumptions'!V88</f>
        <v/>
      </c>
      <c r="W22" s="6">
        <f>W5*'Assumptions'!W88</f>
        <v/>
      </c>
      <c r="X22" s="6">
        <f>X5*'Assumptions'!X88</f>
        <v/>
      </c>
      <c r="Y22" s="6">
        <f>Y5*'Assumptions'!Y88</f>
        <v/>
      </c>
      <c r="Z22" s="6">
        <f>Z5*'Assumptions'!Z88</f>
        <v/>
      </c>
      <c r="AA22" s="6">
        <f>AA5*'Assumptions'!AA88</f>
        <v/>
      </c>
      <c r="AB22" s="6">
        <f>AB5*'Assumptions'!AB88</f>
        <v/>
      </c>
      <c r="AC22" s="6">
        <f>AC5*'Assumptions'!AC88</f>
        <v/>
      </c>
      <c r="AD22" s="6">
        <f>AD5*'Assumptions'!AD88</f>
        <v/>
      </c>
      <c r="AE22" s="6">
        <f>AE5*'Assumptions'!AE88</f>
        <v/>
      </c>
      <c r="AF22" s="6">
        <f>AF5*'Assumptions'!AF88</f>
        <v/>
      </c>
      <c r="AG22" s="6">
        <f>AG5*'Assumptions'!AG88</f>
        <v/>
      </c>
      <c r="AH22" s="6">
        <f>AH5*'Assumptions'!AH88</f>
        <v/>
      </c>
      <c r="AI22" s="6">
        <f>AI5*'Assumptions'!AI88</f>
        <v/>
      </c>
      <c r="AJ22" s="6">
        <f>AJ5*'Assumptions'!AJ88</f>
        <v/>
      </c>
      <c r="AK22" s="6">
        <f>AK5*'Assumptions'!AK88</f>
        <v/>
      </c>
      <c r="AL22" s="6">
        <f>AL5*'Assumptions'!AL88</f>
        <v/>
      </c>
      <c r="AM22" s="6">
        <f>SUM(C23:AL23)</f>
        <v/>
      </c>
    </row>
    <row r="23" outlineLevel="1" ht="25" customHeight="1">
      <c r="A23" s="33" t="inlineStr">
        <is>
          <t>Marketing &amp; Sales</t>
        </is>
      </c>
      <c r="B23" s="33" t="inlineStr">
        <is>
          <t>Leades Manager</t>
        </is>
      </c>
      <c r="C23" s="6">
        <f>'Assumptions'!C97</f>
        <v/>
      </c>
      <c r="D23" s="6">
        <f>'Assumptions'!D97</f>
        <v/>
      </c>
      <c r="E23" s="6">
        <f>'Assumptions'!E97</f>
        <v/>
      </c>
      <c r="F23" s="6">
        <f>'Assumptions'!F97</f>
        <v/>
      </c>
      <c r="G23" s="6">
        <f>'Assumptions'!G97</f>
        <v/>
      </c>
      <c r="H23" s="6">
        <f>'Assumptions'!H97</f>
        <v/>
      </c>
      <c r="I23" s="6">
        <f>'Assumptions'!I97</f>
        <v/>
      </c>
      <c r="J23" s="6">
        <f>'Assumptions'!J97</f>
        <v/>
      </c>
      <c r="K23" s="6">
        <f>'Assumptions'!K97</f>
        <v/>
      </c>
      <c r="L23" s="6">
        <f>'Assumptions'!L97</f>
        <v/>
      </c>
      <c r="M23" s="6">
        <f>'Assumptions'!M97</f>
        <v/>
      </c>
      <c r="N23" s="6">
        <f>'Assumptions'!N97</f>
        <v/>
      </c>
      <c r="O23" s="6">
        <f>'Assumptions'!O97</f>
        <v/>
      </c>
      <c r="P23" s="6">
        <f>'Assumptions'!P97</f>
        <v/>
      </c>
      <c r="Q23" s="6">
        <f>'Assumptions'!Q97</f>
        <v/>
      </c>
      <c r="R23" s="6">
        <f>'Assumptions'!R97</f>
        <v/>
      </c>
      <c r="S23" s="6">
        <f>'Assumptions'!S97</f>
        <v/>
      </c>
      <c r="T23" s="6">
        <f>'Assumptions'!T97</f>
        <v/>
      </c>
      <c r="U23" s="6">
        <f>'Assumptions'!U97</f>
        <v/>
      </c>
      <c r="V23" s="6">
        <f>'Assumptions'!V97</f>
        <v/>
      </c>
      <c r="W23" s="6">
        <f>'Assumptions'!W97</f>
        <v/>
      </c>
      <c r="X23" s="6">
        <f>'Assumptions'!X97</f>
        <v/>
      </c>
      <c r="Y23" s="6">
        <f>'Assumptions'!Y97</f>
        <v/>
      </c>
      <c r="Z23" s="6">
        <f>'Assumptions'!Z97</f>
        <v/>
      </c>
      <c r="AA23" s="6">
        <f>'Assumptions'!AA97</f>
        <v/>
      </c>
      <c r="AB23" s="6">
        <f>'Assumptions'!AB97</f>
        <v/>
      </c>
      <c r="AC23" s="6">
        <f>'Assumptions'!AC97</f>
        <v/>
      </c>
      <c r="AD23" s="6">
        <f>'Assumptions'!AD97</f>
        <v/>
      </c>
      <c r="AE23" s="6">
        <f>'Assumptions'!AE97</f>
        <v/>
      </c>
      <c r="AF23" s="6">
        <f>'Assumptions'!AF97</f>
        <v/>
      </c>
      <c r="AG23" s="6">
        <f>'Assumptions'!AG97</f>
        <v/>
      </c>
      <c r="AH23" s="6">
        <f>'Assumptions'!AH97</f>
        <v/>
      </c>
      <c r="AI23" s="6">
        <f>'Assumptions'!AI97</f>
        <v/>
      </c>
      <c r="AJ23" s="6">
        <f>'Assumptions'!AJ97</f>
        <v/>
      </c>
      <c r="AK23" s="6">
        <f>'Assumptions'!AK97</f>
        <v/>
      </c>
      <c r="AL23" s="6">
        <f>'Assumptions'!AL97</f>
        <v/>
      </c>
      <c r="AM23" s="6">
        <f>SUM(C24:AL24)</f>
        <v/>
      </c>
    </row>
    <row r="24" outlineLevel="1" ht="25" customHeight="1">
      <c r="A24" s="31" t="inlineStr">
        <is>
          <t>Operations</t>
        </is>
      </c>
      <c r="B24" s="31" t="inlineStr">
        <is>
          <t>Expense category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2" t="n"/>
      <c r="AD24" s="32" t="n"/>
      <c r="AE24" s="32" t="n"/>
      <c r="AF24" s="32" t="n"/>
      <c r="AG24" s="32" t="n"/>
      <c r="AH24" s="32" t="n"/>
      <c r="AI24" s="32" t="n"/>
      <c r="AJ24" s="32" t="n"/>
      <c r="AK24" s="32" t="n"/>
      <c r="AL24" s="32" t="n"/>
      <c r="AM24" s="32" t="n"/>
    </row>
    <row r="25" ht="28" customHeight="1">
      <c r="A25" s="33" t="inlineStr">
        <is>
          <t>Operations</t>
        </is>
      </c>
      <c r="B25" s="33" t="inlineStr">
        <is>
          <t>Customer support - Yaar</t>
        </is>
      </c>
      <c r="C25" s="6">
        <f>'Assumptions'!C89</f>
        <v/>
      </c>
      <c r="D25" s="6">
        <f>'Assumptions'!D89</f>
        <v/>
      </c>
      <c r="E25" s="6">
        <f>'Assumptions'!E89</f>
        <v/>
      </c>
      <c r="F25" s="6">
        <f>'Assumptions'!F89</f>
        <v/>
      </c>
      <c r="G25" s="6">
        <f>'Assumptions'!G89</f>
        <v/>
      </c>
      <c r="H25" s="6">
        <f>'Assumptions'!H89</f>
        <v/>
      </c>
      <c r="I25" s="6">
        <f>'Assumptions'!I89</f>
        <v/>
      </c>
      <c r="J25" s="6">
        <f>'Assumptions'!J89</f>
        <v/>
      </c>
      <c r="K25" s="6">
        <f>'Assumptions'!K89</f>
        <v/>
      </c>
      <c r="L25" s="6">
        <f>'Assumptions'!L89</f>
        <v/>
      </c>
      <c r="M25" s="6">
        <f>'Assumptions'!M89</f>
        <v/>
      </c>
      <c r="N25" s="6">
        <f>'Assumptions'!N89</f>
        <v/>
      </c>
      <c r="O25" s="6">
        <f>'Assumptions'!O89</f>
        <v/>
      </c>
      <c r="P25" s="6">
        <f>'Assumptions'!P89</f>
        <v/>
      </c>
      <c r="Q25" s="6">
        <f>'Assumptions'!Q89</f>
        <v/>
      </c>
      <c r="R25" s="6">
        <f>'Assumptions'!R89</f>
        <v/>
      </c>
      <c r="S25" s="6">
        <f>'Assumptions'!S89</f>
        <v/>
      </c>
      <c r="T25" s="6">
        <f>'Assumptions'!T89</f>
        <v/>
      </c>
      <c r="U25" s="6">
        <f>'Assumptions'!U89</f>
        <v/>
      </c>
      <c r="V25" s="6">
        <f>'Assumptions'!V89</f>
        <v/>
      </c>
      <c r="W25" s="6">
        <f>'Assumptions'!W89</f>
        <v/>
      </c>
      <c r="X25" s="6">
        <f>'Assumptions'!X89</f>
        <v/>
      </c>
      <c r="Y25" s="6">
        <f>'Assumptions'!Y89</f>
        <v/>
      </c>
      <c r="Z25" s="6">
        <f>'Assumptions'!Z89</f>
        <v/>
      </c>
      <c r="AA25" s="6">
        <f>'Assumptions'!AA89</f>
        <v/>
      </c>
      <c r="AB25" s="6">
        <f>'Assumptions'!AB89</f>
        <v/>
      </c>
      <c r="AC25" s="6">
        <f>'Assumptions'!AC89</f>
        <v/>
      </c>
      <c r="AD25" s="6">
        <f>'Assumptions'!AD89</f>
        <v/>
      </c>
      <c r="AE25" s="6">
        <f>'Assumptions'!AE89</f>
        <v/>
      </c>
      <c r="AF25" s="6">
        <f>'Assumptions'!AF89</f>
        <v/>
      </c>
      <c r="AG25" s="6">
        <f>'Assumptions'!AG89</f>
        <v/>
      </c>
      <c r="AH25" s="6">
        <f>'Assumptions'!AH89</f>
        <v/>
      </c>
      <c r="AI25" s="6">
        <f>'Assumptions'!AI89</f>
        <v/>
      </c>
      <c r="AJ25" s="6">
        <f>'Assumptions'!AJ89</f>
        <v/>
      </c>
      <c r="AK25" s="6">
        <f>'Assumptions'!AK89</f>
        <v/>
      </c>
      <c r="AL25" s="6">
        <f>'Assumptions'!AL89</f>
        <v/>
      </c>
      <c r="AM25" s="6">
        <f>SUM(C26:AL26)</f>
        <v/>
      </c>
    </row>
    <row r="26" outlineLevel="1" ht="25" customHeight="1">
      <c r="A26" s="33" t="inlineStr">
        <is>
          <t>Operations</t>
        </is>
      </c>
      <c r="B26" s="33" t="inlineStr">
        <is>
          <t>Online installation manager</t>
        </is>
      </c>
      <c r="C26" s="6">
        <f>'Assumptions'!C90</f>
        <v/>
      </c>
      <c r="D26" s="6">
        <f>'Assumptions'!D90</f>
        <v/>
      </c>
      <c r="E26" s="6">
        <f>'Assumptions'!E90</f>
        <v/>
      </c>
      <c r="F26" s="6">
        <f>'Assumptions'!F90</f>
        <v/>
      </c>
      <c r="G26" s="6">
        <f>'Assumptions'!G90</f>
        <v/>
      </c>
      <c r="H26" s="6">
        <f>'Assumptions'!H90</f>
        <v/>
      </c>
      <c r="I26" s="6">
        <f>'Assumptions'!I90</f>
        <v/>
      </c>
      <c r="J26" s="6">
        <f>'Assumptions'!J90</f>
        <v/>
      </c>
      <c r="K26" s="6">
        <f>'Assumptions'!K90</f>
        <v/>
      </c>
      <c r="L26" s="6">
        <f>'Assumptions'!L90</f>
        <v/>
      </c>
      <c r="M26" s="6">
        <f>'Assumptions'!M90</f>
        <v/>
      </c>
      <c r="N26" s="6">
        <f>'Assumptions'!N90</f>
        <v/>
      </c>
      <c r="O26" s="6">
        <f>'Assumptions'!O90</f>
        <v/>
      </c>
      <c r="P26" s="6">
        <f>'Assumptions'!P90</f>
        <v/>
      </c>
      <c r="Q26" s="6">
        <f>'Assumptions'!Q90</f>
        <v/>
      </c>
      <c r="R26" s="6">
        <f>'Assumptions'!R90</f>
        <v/>
      </c>
      <c r="S26" s="6">
        <f>'Assumptions'!S90</f>
        <v/>
      </c>
      <c r="T26" s="6">
        <f>'Assumptions'!T90</f>
        <v/>
      </c>
      <c r="U26" s="6">
        <f>'Assumptions'!U90</f>
        <v/>
      </c>
      <c r="V26" s="6">
        <f>'Assumptions'!V90</f>
        <v/>
      </c>
      <c r="W26" s="6">
        <f>'Assumptions'!W90</f>
        <v/>
      </c>
      <c r="X26" s="6">
        <f>'Assumptions'!X90</f>
        <v/>
      </c>
      <c r="Y26" s="6">
        <f>'Assumptions'!Y90</f>
        <v/>
      </c>
      <c r="Z26" s="6">
        <f>'Assumptions'!Z90</f>
        <v/>
      </c>
      <c r="AA26" s="6">
        <f>'Assumptions'!AA90</f>
        <v/>
      </c>
      <c r="AB26" s="6">
        <f>'Assumptions'!AB90</f>
        <v/>
      </c>
      <c r="AC26" s="6">
        <f>'Assumptions'!AC90</f>
        <v/>
      </c>
      <c r="AD26" s="6">
        <f>'Assumptions'!AD90</f>
        <v/>
      </c>
      <c r="AE26" s="6">
        <f>'Assumptions'!AE90</f>
        <v/>
      </c>
      <c r="AF26" s="6">
        <f>'Assumptions'!AF90</f>
        <v/>
      </c>
      <c r="AG26" s="6">
        <f>'Assumptions'!AG90</f>
        <v/>
      </c>
      <c r="AH26" s="6">
        <f>'Assumptions'!AH90</f>
        <v/>
      </c>
      <c r="AI26" s="6">
        <f>'Assumptions'!AI90</f>
        <v/>
      </c>
      <c r="AJ26" s="6">
        <f>'Assumptions'!AJ90</f>
        <v/>
      </c>
      <c r="AK26" s="6">
        <f>'Assumptions'!AK90</f>
        <v/>
      </c>
      <c r="AL26" s="6">
        <f>'Assumptions'!AL90</f>
        <v/>
      </c>
      <c r="AM26" s="6">
        <f>SUM(C27:AL27)</f>
        <v/>
      </c>
    </row>
    <row r="27" outlineLevel="1" ht="25" customHeight="1">
      <c r="A27" s="33" t="inlineStr">
        <is>
          <t>Operations</t>
        </is>
      </c>
      <c r="B27" s="33" t="inlineStr">
        <is>
          <t>Costumer Sucsess</t>
        </is>
      </c>
      <c r="C27" s="6">
        <f>'Assumptions'!C96</f>
        <v/>
      </c>
      <c r="D27" s="6">
        <f>'Assumptions'!D96</f>
        <v/>
      </c>
      <c r="E27" s="6">
        <f>'Assumptions'!E96</f>
        <v/>
      </c>
      <c r="F27" s="6">
        <f>'Assumptions'!F96</f>
        <v/>
      </c>
      <c r="G27" s="6">
        <f>'Assumptions'!G96</f>
        <v/>
      </c>
      <c r="H27" s="6">
        <f>'Assumptions'!H96</f>
        <v/>
      </c>
      <c r="I27" s="6">
        <f>'Assumptions'!I96</f>
        <v/>
      </c>
      <c r="J27" s="6">
        <f>'Assumptions'!J96</f>
        <v/>
      </c>
      <c r="K27" s="6">
        <f>'Assumptions'!K96</f>
        <v/>
      </c>
      <c r="L27" s="6">
        <f>'Assumptions'!L96</f>
        <v/>
      </c>
      <c r="M27" s="6">
        <f>'Assumptions'!M96</f>
        <v/>
      </c>
      <c r="N27" s="6">
        <f>'Assumptions'!N96</f>
        <v/>
      </c>
      <c r="O27" s="6">
        <f>'Assumptions'!O96</f>
        <v/>
      </c>
      <c r="P27" s="6">
        <f>'Assumptions'!P96</f>
        <v/>
      </c>
      <c r="Q27" s="6">
        <f>'Assumptions'!Q96</f>
        <v/>
      </c>
      <c r="R27" s="6">
        <f>'Assumptions'!R96</f>
        <v/>
      </c>
      <c r="S27" s="6">
        <f>'Assumptions'!S96</f>
        <v/>
      </c>
      <c r="T27" s="6">
        <f>'Assumptions'!T96</f>
        <v/>
      </c>
      <c r="U27" s="6">
        <f>'Assumptions'!U96</f>
        <v/>
      </c>
      <c r="V27" s="6">
        <f>'Assumptions'!V96</f>
        <v/>
      </c>
      <c r="W27" s="6">
        <f>'Assumptions'!W96</f>
        <v/>
      </c>
      <c r="X27" s="6">
        <f>'Assumptions'!X96</f>
        <v/>
      </c>
      <c r="Y27" s="6">
        <f>'Assumptions'!Y96</f>
        <v/>
      </c>
      <c r="Z27" s="6">
        <f>'Assumptions'!Z96</f>
        <v/>
      </c>
      <c r="AA27" s="6">
        <f>'Assumptions'!AA96</f>
        <v/>
      </c>
      <c r="AB27" s="6">
        <f>'Assumptions'!AB96</f>
        <v/>
      </c>
      <c r="AC27" s="6">
        <f>'Assumptions'!AC96</f>
        <v/>
      </c>
      <c r="AD27" s="6">
        <f>'Assumptions'!AD96</f>
        <v/>
      </c>
      <c r="AE27" s="6">
        <f>'Assumptions'!AE96</f>
        <v/>
      </c>
      <c r="AF27" s="6">
        <f>'Assumptions'!AF96</f>
        <v/>
      </c>
      <c r="AG27" s="6">
        <f>'Assumptions'!AG96</f>
        <v/>
      </c>
      <c r="AH27" s="6">
        <f>'Assumptions'!AH96</f>
        <v/>
      </c>
      <c r="AI27" s="6">
        <f>'Assumptions'!AI96</f>
        <v/>
      </c>
      <c r="AJ27" s="6">
        <f>'Assumptions'!AJ96</f>
        <v/>
      </c>
      <c r="AK27" s="6">
        <f>'Assumptions'!AK96</f>
        <v/>
      </c>
      <c r="AL27" s="6">
        <f>'Assumptions'!AL96</f>
        <v/>
      </c>
      <c r="AM27" s="6">
        <f>SUM(C28:AL28)</f>
        <v/>
      </c>
    </row>
    <row r="28" outlineLevel="1" ht="25" customHeight="1">
      <c r="A28" s="31" t="inlineStr">
        <is>
          <t>Management</t>
        </is>
      </c>
      <c r="B28" s="31" t="inlineStr">
        <is>
          <t>Expense category</t>
        </is>
      </c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2" t="n"/>
      <c r="AB28" s="32" t="n"/>
      <c r="AC28" s="32" t="n"/>
      <c r="AD28" s="32" t="n"/>
      <c r="AE28" s="32" t="n"/>
      <c r="AF28" s="32" t="n"/>
      <c r="AG28" s="32" t="n"/>
      <c r="AH28" s="32" t="n"/>
      <c r="AI28" s="32" t="n"/>
      <c r="AJ28" s="32" t="n"/>
      <c r="AK28" s="32" t="n"/>
      <c r="AL28" s="32" t="n"/>
      <c r="AM28" s="32" t="n"/>
    </row>
    <row r="29" ht="28" customHeight="1">
      <c r="A29" s="33" t="inlineStr">
        <is>
          <t>Management</t>
        </is>
      </c>
      <c r="B29" s="33" t="inlineStr">
        <is>
          <t>CEO - Maor</t>
        </is>
      </c>
      <c r="C29" s="6">
        <f>'Assumptions'!C91</f>
        <v/>
      </c>
      <c r="D29" s="6">
        <f>'Assumptions'!D91</f>
        <v/>
      </c>
      <c r="E29" s="6">
        <f>'Assumptions'!E91</f>
        <v/>
      </c>
      <c r="F29" s="6">
        <f>'Assumptions'!F91</f>
        <v/>
      </c>
      <c r="G29" s="6">
        <f>'Assumptions'!G91</f>
        <v/>
      </c>
      <c r="H29" s="6">
        <f>'Assumptions'!H91</f>
        <v/>
      </c>
      <c r="I29" s="6">
        <f>'Assumptions'!I91</f>
        <v/>
      </c>
      <c r="J29" s="6">
        <f>'Assumptions'!J91</f>
        <v/>
      </c>
      <c r="K29" s="6">
        <f>'Assumptions'!K91</f>
        <v/>
      </c>
      <c r="L29" s="6">
        <f>'Assumptions'!L91</f>
        <v/>
      </c>
      <c r="M29" s="6">
        <f>'Assumptions'!M91</f>
        <v/>
      </c>
      <c r="N29" s="6">
        <f>'Assumptions'!N91</f>
        <v/>
      </c>
      <c r="O29" s="6">
        <f>'Assumptions'!O91</f>
        <v/>
      </c>
      <c r="P29" s="6">
        <f>'Assumptions'!P91</f>
        <v/>
      </c>
      <c r="Q29" s="6">
        <f>'Assumptions'!Q91</f>
        <v/>
      </c>
      <c r="R29" s="6">
        <f>'Assumptions'!R91</f>
        <v/>
      </c>
      <c r="S29" s="6">
        <f>'Assumptions'!S91</f>
        <v/>
      </c>
      <c r="T29" s="6">
        <f>'Assumptions'!T91</f>
        <v/>
      </c>
      <c r="U29" s="6">
        <f>'Assumptions'!U91</f>
        <v/>
      </c>
      <c r="V29" s="6">
        <f>'Assumptions'!V91</f>
        <v/>
      </c>
      <c r="W29" s="6">
        <f>'Assumptions'!W91</f>
        <v/>
      </c>
      <c r="X29" s="6">
        <f>'Assumptions'!X91</f>
        <v/>
      </c>
      <c r="Y29" s="6">
        <f>'Assumptions'!Y91</f>
        <v/>
      </c>
      <c r="Z29" s="6">
        <f>'Assumptions'!Z91</f>
        <v/>
      </c>
      <c r="AA29" s="6">
        <f>'Assumptions'!AA91</f>
        <v/>
      </c>
      <c r="AB29" s="6">
        <f>'Assumptions'!AB91</f>
        <v/>
      </c>
      <c r="AC29" s="6">
        <f>'Assumptions'!AC91</f>
        <v/>
      </c>
      <c r="AD29" s="6">
        <f>'Assumptions'!AD91</f>
        <v/>
      </c>
      <c r="AE29" s="6">
        <f>'Assumptions'!AE91</f>
        <v/>
      </c>
      <c r="AF29" s="6">
        <f>'Assumptions'!AF91</f>
        <v/>
      </c>
      <c r="AG29" s="6">
        <f>'Assumptions'!AG91</f>
        <v/>
      </c>
      <c r="AH29" s="6">
        <f>'Assumptions'!AH91</f>
        <v/>
      </c>
      <c r="AI29" s="6">
        <f>'Assumptions'!AI91</f>
        <v/>
      </c>
      <c r="AJ29" s="6">
        <f>'Assumptions'!AJ91</f>
        <v/>
      </c>
      <c r="AK29" s="6">
        <f>'Assumptions'!AK91</f>
        <v/>
      </c>
      <c r="AL29" s="6">
        <f>'Assumptions'!AL91</f>
        <v/>
      </c>
      <c r="AM29" s="6">
        <f>SUM(C30:AL30)</f>
        <v/>
      </c>
    </row>
    <row r="30" outlineLevel="1" ht="25" customHeight="1">
      <c r="A30" s="33" t="inlineStr">
        <is>
          <t>Management</t>
        </is>
      </c>
      <c r="B30" s="33" t="inlineStr">
        <is>
          <t>COO - Elad</t>
        </is>
      </c>
      <c r="C30" s="6">
        <f>'Assumptions'!C92</f>
        <v/>
      </c>
      <c r="D30" s="6">
        <f>'Assumptions'!D92</f>
        <v/>
      </c>
      <c r="E30" s="6">
        <f>'Assumptions'!E92</f>
        <v/>
      </c>
      <c r="F30" s="6">
        <f>'Assumptions'!F92</f>
        <v/>
      </c>
      <c r="G30" s="6">
        <f>'Assumptions'!G92</f>
        <v/>
      </c>
      <c r="H30" s="6">
        <f>'Assumptions'!H92</f>
        <v/>
      </c>
      <c r="I30" s="6">
        <f>'Assumptions'!I92</f>
        <v/>
      </c>
      <c r="J30" s="6">
        <f>'Assumptions'!J92</f>
        <v/>
      </c>
      <c r="K30" s="6">
        <f>'Assumptions'!K92</f>
        <v/>
      </c>
      <c r="L30" s="6">
        <f>'Assumptions'!L92</f>
        <v/>
      </c>
      <c r="M30" s="6">
        <f>'Assumptions'!M92</f>
        <v/>
      </c>
      <c r="N30" s="6">
        <f>'Assumptions'!N92</f>
        <v/>
      </c>
      <c r="O30" s="6">
        <f>'Assumptions'!O92</f>
        <v/>
      </c>
      <c r="P30" s="6">
        <f>'Assumptions'!P92</f>
        <v/>
      </c>
      <c r="Q30" s="6">
        <f>'Assumptions'!Q92</f>
        <v/>
      </c>
      <c r="R30" s="6">
        <f>'Assumptions'!R92</f>
        <v/>
      </c>
      <c r="S30" s="6">
        <f>'Assumptions'!S92</f>
        <v/>
      </c>
      <c r="T30" s="6">
        <f>'Assumptions'!T92</f>
        <v/>
      </c>
      <c r="U30" s="6">
        <f>'Assumptions'!U92</f>
        <v/>
      </c>
      <c r="V30" s="6">
        <f>'Assumptions'!V92</f>
        <v/>
      </c>
      <c r="W30" s="6">
        <f>'Assumptions'!W92</f>
        <v/>
      </c>
      <c r="X30" s="6">
        <f>'Assumptions'!X92</f>
        <v/>
      </c>
      <c r="Y30" s="6">
        <f>'Assumptions'!Y92</f>
        <v/>
      </c>
      <c r="Z30" s="6">
        <f>'Assumptions'!Z92</f>
        <v/>
      </c>
      <c r="AA30" s="6">
        <f>'Assumptions'!AA92</f>
        <v/>
      </c>
      <c r="AB30" s="6">
        <f>'Assumptions'!AB92</f>
        <v/>
      </c>
      <c r="AC30" s="6">
        <f>'Assumptions'!AC92</f>
        <v/>
      </c>
      <c r="AD30" s="6">
        <f>'Assumptions'!AD92</f>
        <v/>
      </c>
      <c r="AE30" s="6">
        <f>'Assumptions'!AE92</f>
        <v/>
      </c>
      <c r="AF30" s="6">
        <f>'Assumptions'!AF92</f>
        <v/>
      </c>
      <c r="AG30" s="6">
        <f>'Assumptions'!AG92</f>
        <v/>
      </c>
      <c r="AH30" s="6">
        <f>'Assumptions'!AH92</f>
        <v/>
      </c>
      <c r="AI30" s="6">
        <f>'Assumptions'!AI92</f>
        <v/>
      </c>
      <c r="AJ30" s="6">
        <f>'Assumptions'!AJ92</f>
        <v/>
      </c>
      <c r="AK30" s="6">
        <f>'Assumptions'!AK92</f>
        <v/>
      </c>
      <c r="AL30" s="6">
        <f>'Assumptions'!AL92</f>
        <v/>
      </c>
      <c r="AM30" s="6">
        <f>SUM(C31:AL31)</f>
        <v/>
      </c>
    </row>
    <row r="31" outlineLevel="1" ht="25" customHeight="1">
      <c r="A31" s="31" t="inlineStr">
        <is>
          <t>Accounting / Admin</t>
        </is>
      </c>
      <c r="B31" s="31" t="inlineStr">
        <is>
          <t>Expense category</t>
        </is>
      </c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2" t="n"/>
      <c r="AD31" s="32" t="n"/>
      <c r="AE31" s="32" t="n"/>
      <c r="AF31" s="32" t="n"/>
      <c r="AG31" s="32" t="n"/>
      <c r="AH31" s="32" t="n"/>
      <c r="AI31" s="32" t="n"/>
      <c r="AJ31" s="32" t="n"/>
      <c r="AK31" s="32" t="n"/>
      <c r="AL31" s="32" t="n"/>
      <c r="AM31" s="32" t="n"/>
    </row>
    <row r="32" ht="28" customHeight="1">
      <c r="A32" s="33" t="inlineStr">
        <is>
          <t>Accounting / Admin</t>
        </is>
      </c>
      <c r="B32" s="33" t="inlineStr">
        <is>
          <t>Bookkeeping</t>
        </is>
      </c>
      <c r="C32" s="6">
        <f>'Assumptions'!C93</f>
        <v/>
      </c>
      <c r="D32" s="6">
        <f>'Assumptions'!D93</f>
        <v/>
      </c>
      <c r="E32" s="6">
        <f>'Assumptions'!E93</f>
        <v/>
      </c>
      <c r="F32" s="6">
        <f>'Assumptions'!F93</f>
        <v/>
      </c>
      <c r="G32" s="6">
        <f>'Assumptions'!G93</f>
        <v/>
      </c>
      <c r="H32" s="6">
        <f>'Assumptions'!H93</f>
        <v/>
      </c>
      <c r="I32" s="6">
        <f>'Assumptions'!I93</f>
        <v/>
      </c>
      <c r="J32" s="6">
        <f>'Assumptions'!J93</f>
        <v/>
      </c>
      <c r="K32" s="6">
        <f>'Assumptions'!K93</f>
        <v/>
      </c>
      <c r="L32" s="6">
        <f>'Assumptions'!L93</f>
        <v/>
      </c>
      <c r="M32" s="6">
        <f>'Assumptions'!M93</f>
        <v/>
      </c>
      <c r="N32" s="6">
        <f>'Assumptions'!N93</f>
        <v/>
      </c>
      <c r="O32" s="6">
        <f>'Assumptions'!O93</f>
        <v/>
      </c>
      <c r="P32" s="6">
        <f>'Assumptions'!P93</f>
        <v/>
      </c>
      <c r="Q32" s="6">
        <f>'Assumptions'!Q93</f>
        <v/>
      </c>
      <c r="R32" s="6">
        <f>'Assumptions'!R93</f>
        <v/>
      </c>
      <c r="S32" s="6">
        <f>'Assumptions'!S93</f>
        <v/>
      </c>
      <c r="T32" s="6">
        <f>'Assumptions'!T93</f>
        <v/>
      </c>
      <c r="U32" s="6">
        <f>'Assumptions'!U93</f>
        <v/>
      </c>
      <c r="V32" s="6">
        <f>'Assumptions'!V93</f>
        <v/>
      </c>
      <c r="W32" s="6">
        <f>'Assumptions'!W93</f>
        <v/>
      </c>
      <c r="X32" s="6">
        <f>'Assumptions'!X93</f>
        <v/>
      </c>
      <c r="Y32" s="6">
        <f>'Assumptions'!Y93</f>
        <v/>
      </c>
      <c r="Z32" s="6">
        <f>'Assumptions'!Z93</f>
        <v/>
      </c>
      <c r="AA32" s="6">
        <f>'Assumptions'!AA93</f>
        <v/>
      </c>
      <c r="AB32" s="6">
        <f>'Assumptions'!AB93</f>
        <v/>
      </c>
      <c r="AC32" s="6">
        <f>'Assumptions'!AC93</f>
        <v/>
      </c>
      <c r="AD32" s="6">
        <f>'Assumptions'!AD93</f>
        <v/>
      </c>
      <c r="AE32" s="6">
        <f>'Assumptions'!AE93</f>
        <v/>
      </c>
      <c r="AF32" s="6">
        <f>'Assumptions'!AF93</f>
        <v/>
      </c>
      <c r="AG32" s="6">
        <f>'Assumptions'!AG93</f>
        <v/>
      </c>
      <c r="AH32" s="6">
        <f>'Assumptions'!AH93</f>
        <v/>
      </c>
      <c r="AI32" s="6">
        <f>'Assumptions'!AI93</f>
        <v/>
      </c>
      <c r="AJ32" s="6">
        <f>'Assumptions'!AJ93</f>
        <v/>
      </c>
      <c r="AK32" s="6">
        <f>'Assumptions'!AK93</f>
        <v/>
      </c>
      <c r="AL32" s="6">
        <f>'Assumptions'!AL93</f>
        <v/>
      </c>
      <c r="AM32" s="6">
        <f>SUM(C33:AL33)</f>
        <v/>
      </c>
    </row>
    <row r="33" outlineLevel="1" ht="25" customHeight="1">
      <c r="A33" s="33" t="inlineStr">
        <is>
          <t>Accounting / Admin</t>
        </is>
      </c>
      <c r="B33" s="33" t="inlineStr">
        <is>
          <t>VAT Israel</t>
        </is>
      </c>
      <c r="C33" s="6">
        <f>'Assumptions'!B11*C9*'Assumptions'!C94</f>
        <v/>
      </c>
      <c r="D33" s="6">
        <f>'Assumptions'!B11*D9*'Assumptions'!D94</f>
        <v/>
      </c>
      <c r="E33" s="6">
        <f>'Assumptions'!B11*E9*'Assumptions'!E94</f>
        <v/>
      </c>
      <c r="F33" s="6">
        <f>'Assumptions'!B11*F9*'Assumptions'!F94</f>
        <v/>
      </c>
      <c r="G33" s="6">
        <f>'Assumptions'!B11*G9*'Assumptions'!G94</f>
        <v/>
      </c>
      <c r="H33" s="6">
        <f>'Assumptions'!B11*H9*'Assumptions'!H94</f>
        <v/>
      </c>
      <c r="I33" s="6">
        <f>'Assumptions'!B11*I9*'Assumptions'!I94</f>
        <v/>
      </c>
      <c r="J33" s="6">
        <f>'Assumptions'!B11*J9*'Assumptions'!J94</f>
        <v/>
      </c>
      <c r="K33" s="6">
        <f>'Assumptions'!B11*K9*'Assumptions'!K94</f>
        <v/>
      </c>
      <c r="L33" s="6">
        <f>'Assumptions'!B11*L9*'Assumptions'!L94</f>
        <v/>
      </c>
      <c r="M33" s="6">
        <f>'Assumptions'!B11*M9*'Assumptions'!M94</f>
        <v/>
      </c>
      <c r="N33" s="6">
        <f>'Assumptions'!B11*N9*'Assumptions'!N94</f>
        <v/>
      </c>
      <c r="O33" s="6">
        <f>'Assumptions'!B11*O9*'Assumptions'!O94</f>
        <v/>
      </c>
      <c r="P33" s="6">
        <f>'Assumptions'!B11*P9*'Assumptions'!P94</f>
        <v/>
      </c>
      <c r="Q33" s="6">
        <f>'Assumptions'!B11*Q9*'Assumptions'!Q94</f>
        <v/>
      </c>
      <c r="R33" s="6">
        <f>'Assumptions'!B11*R9*'Assumptions'!R94</f>
        <v/>
      </c>
      <c r="S33" s="6">
        <f>'Assumptions'!B11*S9*'Assumptions'!S94</f>
        <v/>
      </c>
      <c r="T33" s="6">
        <f>'Assumptions'!B11*T9*'Assumptions'!T94</f>
        <v/>
      </c>
      <c r="U33" s="6">
        <f>'Assumptions'!B11*U9*'Assumptions'!U94</f>
        <v/>
      </c>
      <c r="V33" s="6">
        <f>'Assumptions'!B11*V9*'Assumptions'!V94</f>
        <v/>
      </c>
      <c r="W33" s="6">
        <f>'Assumptions'!B11*W9*'Assumptions'!W94</f>
        <v/>
      </c>
      <c r="X33" s="6">
        <f>'Assumptions'!B11*X9*'Assumptions'!X94</f>
        <v/>
      </c>
      <c r="Y33" s="6">
        <f>'Assumptions'!B11*Y9*'Assumptions'!Y94</f>
        <v/>
      </c>
      <c r="Z33" s="6">
        <f>'Assumptions'!B11*Z9*'Assumptions'!Z94</f>
        <v/>
      </c>
      <c r="AA33" s="6">
        <f>'Assumptions'!B11*AA9*'Assumptions'!AA94</f>
        <v/>
      </c>
      <c r="AB33" s="6">
        <f>'Assumptions'!B11*AB9*'Assumptions'!AB94</f>
        <v/>
      </c>
      <c r="AC33" s="6">
        <f>'Assumptions'!B11*AC9*'Assumptions'!AC94</f>
        <v/>
      </c>
      <c r="AD33" s="6">
        <f>'Assumptions'!B11*AD9*'Assumptions'!AD94</f>
        <v/>
      </c>
      <c r="AE33" s="6">
        <f>'Assumptions'!B11*AE9*'Assumptions'!AE94</f>
        <v/>
      </c>
      <c r="AF33" s="6">
        <f>'Assumptions'!B11*AF9*'Assumptions'!AF94</f>
        <v/>
      </c>
      <c r="AG33" s="6">
        <f>'Assumptions'!B11*AG9*'Assumptions'!AG94</f>
        <v/>
      </c>
      <c r="AH33" s="6">
        <f>'Assumptions'!B11*AH9*'Assumptions'!AH94</f>
        <v/>
      </c>
      <c r="AI33" s="6">
        <f>'Assumptions'!B11*AI9*'Assumptions'!AI94</f>
        <v/>
      </c>
      <c r="AJ33" s="6">
        <f>'Assumptions'!B11*AJ9*'Assumptions'!AJ94</f>
        <v/>
      </c>
      <c r="AK33" s="6">
        <f>'Assumptions'!B11*AK9*'Assumptions'!AK94</f>
        <v/>
      </c>
      <c r="AL33" s="6">
        <f>'Assumptions'!B11*AL9*'Assumptions'!AL94</f>
        <v/>
      </c>
      <c r="AM33" s="6">
        <f>SUM(C34:AL34)</f>
        <v/>
      </c>
    </row>
    <row r="34" outlineLevel="1" ht="25" customHeight="1">
      <c r="A34" s="33" t="inlineStr">
        <is>
          <t>Accounting / Admin</t>
        </is>
      </c>
      <c r="B34" s="33" t="inlineStr">
        <is>
          <t>Miscellaneous / equipment</t>
        </is>
      </c>
      <c r="C34" s="6">
        <f>'Assumptions'!C95</f>
        <v/>
      </c>
      <c r="D34" s="6">
        <f>'Assumptions'!D95</f>
        <v/>
      </c>
      <c r="E34" s="6">
        <f>'Assumptions'!E95</f>
        <v/>
      </c>
      <c r="F34" s="6">
        <f>'Assumptions'!F95</f>
        <v/>
      </c>
      <c r="G34" s="6">
        <f>'Assumptions'!G95</f>
        <v/>
      </c>
      <c r="H34" s="6">
        <f>'Assumptions'!H95</f>
        <v/>
      </c>
      <c r="I34" s="6">
        <f>'Assumptions'!I95</f>
        <v/>
      </c>
      <c r="J34" s="6">
        <f>'Assumptions'!J95</f>
        <v/>
      </c>
      <c r="K34" s="6">
        <f>'Assumptions'!K95</f>
        <v/>
      </c>
      <c r="L34" s="6">
        <f>'Assumptions'!L95</f>
        <v/>
      </c>
      <c r="M34" s="6">
        <f>'Assumptions'!M95</f>
        <v/>
      </c>
      <c r="N34" s="6">
        <f>'Assumptions'!N95</f>
        <v/>
      </c>
      <c r="O34" s="6">
        <f>'Assumptions'!O95</f>
        <v/>
      </c>
      <c r="P34" s="6">
        <f>'Assumptions'!P95</f>
        <v/>
      </c>
      <c r="Q34" s="6">
        <f>'Assumptions'!Q95</f>
        <v/>
      </c>
      <c r="R34" s="6">
        <f>'Assumptions'!R95</f>
        <v/>
      </c>
      <c r="S34" s="6">
        <f>'Assumptions'!S95</f>
        <v/>
      </c>
      <c r="T34" s="6">
        <f>'Assumptions'!T95</f>
        <v/>
      </c>
      <c r="U34" s="6">
        <f>'Assumptions'!U95</f>
        <v/>
      </c>
      <c r="V34" s="6">
        <f>'Assumptions'!V95</f>
        <v/>
      </c>
      <c r="W34" s="6">
        <f>'Assumptions'!W95</f>
        <v/>
      </c>
      <c r="X34" s="6">
        <f>'Assumptions'!X95</f>
        <v/>
      </c>
      <c r="Y34" s="6">
        <f>'Assumptions'!Y95</f>
        <v/>
      </c>
      <c r="Z34" s="6">
        <f>'Assumptions'!Z95</f>
        <v/>
      </c>
      <c r="AA34" s="6">
        <f>'Assumptions'!AA95</f>
        <v/>
      </c>
      <c r="AB34" s="6">
        <f>'Assumptions'!AB95</f>
        <v/>
      </c>
      <c r="AC34" s="6">
        <f>'Assumptions'!AC95</f>
        <v/>
      </c>
      <c r="AD34" s="6">
        <f>'Assumptions'!AD95</f>
        <v/>
      </c>
      <c r="AE34" s="6">
        <f>'Assumptions'!AE95</f>
        <v/>
      </c>
      <c r="AF34" s="6">
        <f>'Assumptions'!AF95</f>
        <v/>
      </c>
      <c r="AG34" s="6">
        <f>'Assumptions'!AG95</f>
        <v/>
      </c>
      <c r="AH34" s="6">
        <f>'Assumptions'!AH95</f>
        <v/>
      </c>
      <c r="AI34" s="6">
        <f>'Assumptions'!AI95</f>
        <v/>
      </c>
      <c r="AJ34" s="6">
        <f>'Assumptions'!AJ95</f>
        <v/>
      </c>
      <c r="AK34" s="6">
        <f>'Assumptions'!AK95</f>
        <v/>
      </c>
      <c r="AL34" s="6">
        <f>'Assumptions'!AL95</f>
        <v/>
      </c>
      <c r="AM34" s="6">
        <f>SUM(C35:AL35)</f>
        <v/>
      </c>
    </row>
    <row r="35" outlineLevel="1" ht="25" customHeight="1">
      <c r="A35" s="34" t="inlineStr">
        <is>
          <t>Expenses</t>
        </is>
      </c>
      <c r="B35" s="34" t="inlineStr">
        <is>
          <t>Total Expenses</t>
        </is>
      </c>
      <c r="C35" s="6">
        <f>SUM(C14:C16,C18,C20:C23,C25:C27,C29:C30,C32:C34)</f>
        <v/>
      </c>
      <c r="D35" s="6">
        <f>SUM(D14:D16,D18,D20:D23,D25:D27,D29:D30,D32:D34)</f>
        <v/>
      </c>
      <c r="E35" s="6">
        <f>SUM(E14:E16,E18,E20:E23,E25:E27,E29:E30,E32:E34)</f>
        <v/>
      </c>
      <c r="F35" s="6">
        <f>SUM(F14:F16,F18,F20:F23,F25:F27,F29:F30,F32:F34)</f>
        <v/>
      </c>
      <c r="G35" s="6">
        <f>SUM(G14:G16,G18,G20:G23,G25:G27,G29:G30,G32:G34)</f>
        <v/>
      </c>
      <c r="H35" s="6">
        <f>SUM(H14:H16,H18,H20:H23,H25:H27,H29:H30,H32:H34)</f>
        <v/>
      </c>
      <c r="I35" s="6">
        <f>SUM(I14:I16,I18,I20:I23,I25:I27,I29:I30,I32:I34)</f>
        <v/>
      </c>
      <c r="J35" s="6">
        <f>SUM(J14:J16,J18,J20:J23,J25:J27,J29:J30,J32:J34)</f>
        <v/>
      </c>
      <c r="K35" s="6">
        <f>SUM(K14:K16,K18,K20:K23,K25:K27,K29:K30,K32:K34)</f>
        <v/>
      </c>
      <c r="L35" s="6">
        <f>SUM(L14:L16,L18,L20:L23,L25:L27,L29:L30,L32:L34)</f>
        <v/>
      </c>
      <c r="M35" s="6">
        <f>SUM(M14:M16,M18,M20:M23,M25:M27,M29:M30,M32:M34)</f>
        <v/>
      </c>
      <c r="N35" s="6">
        <f>SUM(N14:N16,N18,N20:N23,N25:N27,N29:N30,N32:N34)</f>
        <v/>
      </c>
      <c r="O35" s="6">
        <f>SUM(O14:O16,O18,O20:O23,O25:O27,O29:O30,O32:O34)</f>
        <v/>
      </c>
      <c r="P35" s="6">
        <f>SUM(P14:P16,P18,P20:P23,P25:P27,P29:P30,P32:P34)</f>
        <v/>
      </c>
      <c r="Q35" s="6">
        <f>SUM(Q14:Q16,Q18,Q20:Q23,Q25:Q27,Q29:Q30,Q32:Q34)</f>
        <v/>
      </c>
      <c r="R35" s="6">
        <f>SUM(R14:R16,R18,R20:R23,R25:R27,R29:R30,R32:R34)</f>
        <v/>
      </c>
      <c r="S35" s="6">
        <f>SUM(S14:S16,S18,S20:S23,S25:S27,S29:S30,S32:S34)</f>
        <v/>
      </c>
      <c r="T35" s="6">
        <f>SUM(T14:T16,T18,T20:T23,T25:T27,T29:T30,T32:T34)</f>
        <v/>
      </c>
      <c r="U35" s="6">
        <f>SUM(U14:U16,U18,U20:U23,U25:U27,U29:U30,U32:U34)</f>
        <v/>
      </c>
      <c r="V35" s="6">
        <f>SUM(V14:V16,V18,V20:V23,V25:V27,V29:V30,V32:V34)</f>
        <v/>
      </c>
      <c r="W35" s="6">
        <f>SUM(W14:W16,W18,W20:W23,W25:W27,W29:W30,W32:W34)</f>
        <v/>
      </c>
      <c r="X35" s="6">
        <f>SUM(X14:X16,X18,X20:X23,X25:X27,X29:X30,X32:X34)</f>
        <v/>
      </c>
      <c r="Y35" s="6">
        <f>SUM(Y14:Y16,Y18,Y20:Y23,Y25:Y27,Y29:Y30,Y32:Y34)</f>
        <v/>
      </c>
      <c r="Z35" s="6">
        <f>SUM(Z14:Z16,Z18,Z20:Z23,Z25:Z27,Z29:Z30,Z32:Z34)</f>
        <v/>
      </c>
      <c r="AA35" s="6">
        <f>SUM(AA14:AA16,AA18,AA20:AA23,AA25:AA27,AA29:AA30,AA32:AA34)</f>
        <v/>
      </c>
      <c r="AB35" s="6">
        <f>SUM(AB14:AB16,AB18,AB20:AB23,AB25:AB27,AB29:AB30,AB32:AB34)</f>
        <v/>
      </c>
      <c r="AC35" s="6">
        <f>SUM(AC14:AC16,AC18,AC20:AC23,AC25:AC27,AC29:AC30,AC32:AC34)</f>
        <v/>
      </c>
      <c r="AD35" s="6">
        <f>SUM(AD14:AD16,AD18,AD20:AD23,AD25:AD27,AD29:AD30,AD32:AD34)</f>
        <v/>
      </c>
      <c r="AE35" s="6">
        <f>SUM(AE14:AE16,AE18,AE20:AE23,AE25:AE27,AE29:AE30,AE32:AE34)</f>
        <v/>
      </c>
      <c r="AF35" s="6">
        <f>SUM(AF14:AF16,AF18,AF20:AF23,AF25:AF27,AF29:AF30,AF32:AF34)</f>
        <v/>
      </c>
      <c r="AG35" s="6">
        <f>SUM(AG14:AG16,AG18,AG20:AG23,AG25:AG27,AG29:AG30,AG32:AG34)</f>
        <v/>
      </c>
      <c r="AH35" s="6">
        <f>SUM(AH14:AH16,AH18,AH20:AH23,AH25:AH27,AH29:AH30,AH32:AH34)</f>
        <v/>
      </c>
      <c r="AI35" s="6">
        <f>SUM(AI14:AI16,AI18,AI20:AI23,AI25:AI27,AI29:AI30,AI32:AI34)</f>
        <v/>
      </c>
      <c r="AJ35" s="6">
        <f>SUM(AJ14:AJ16,AJ18,AJ20:AJ23,AJ25:AJ27,AJ29:AJ30,AJ32:AJ34)</f>
        <v/>
      </c>
      <c r="AK35" s="6">
        <f>SUM(AK14:AK16,AK18,AK20:AK23,AK25:AK27,AK29:AK30,AK32:AK34)</f>
        <v/>
      </c>
      <c r="AL35" s="6">
        <f>SUM(AL14:AL16,AL18,AL20:AL23,AL25:AL27,AL29:AL30,AL32:AL34)</f>
        <v/>
      </c>
      <c r="AM35" s="6">
        <f>SUM(C36:AL36)</f>
        <v/>
      </c>
    </row>
    <row r="36" ht="25" customHeight="1">
      <c r="A36" s="30" t="inlineStr">
        <is>
          <t>Profit</t>
        </is>
      </c>
      <c r="B36" s="30" t="inlineStr">
        <is>
          <t>EBITDA / Profit</t>
        </is>
      </c>
      <c r="C36" s="6">
        <f>C11-C35</f>
        <v/>
      </c>
      <c r="D36" s="6">
        <f>D11-D35</f>
        <v/>
      </c>
      <c r="E36" s="6">
        <f>E11-E35</f>
        <v/>
      </c>
      <c r="F36" s="6">
        <f>F11-F35</f>
        <v/>
      </c>
      <c r="G36" s="6">
        <f>G11-G35</f>
        <v/>
      </c>
      <c r="H36" s="6">
        <f>H11-H35</f>
        <v/>
      </c>
      <c r="I36" s="6">
        <f>I11-I35</f>
        <v/>
      </c>
      <c r="J36" s="6">
        <f>J11-J35</f>
        <v/>
      </c>
      <c r="K36" s="6">
        <f>K11-K35</f>
        <v/>
      </c>
      <c r="L36" s="6">
        <f>L11-L35</f>
        <v/>
      </c>
      <c r="M36" s="6">
        <f>M11-M35</f>
        <v/>
      </c>
      <c r="N36" s="6">
        <f>N11-N35</f>
        <v/>
      </c>
      <c r="O36" s="6">
        <f>O11-O35</f>
        <v/>
      </c>
      <c r="P36" s="6">
        <f>P11-P35</f>
        <v/>
      </c>
      <c r="Q36" s="6">
        <f>Q11-Q35</f>
        <v/>
      </c>
      <c r="R36" s="6">
        <f>R11-R35</f>
        <v/>
      </c>
      <c r="S36" s="6">
        <f>S11-S35</f>
        <v/>
      </c>
      <c r="T36" s="6">
        <f>T11-T35</f>
        <v/>
      </c>
      <c r="U36" s="6">
        <f>U11-U35</f>
        <v/>
      </c>
      <c r="V36" s="6">
        <f>V11-V35</f>
        <v/>
      </c>
      <c r="W36" s="6">
        <f>W11-W35</f>
        <v/>
      </c>
      <c r="X36" s="6">
        <f>X11-X35</f>
        <v/>
      </c>
      <c r="Y36" s="6">
        <f>Y11-Y35</f>
        <v/>
      </c>
      <c r="Z36" s="6">
        <f>Z11-Z35</f>
        <v/>
      </c>
      <c r="AA36" s="6">
        <f>AA11-AA35</f>
        <v/>
      </c>
      <c r="AB36" s="6">
        <f>AB11-AB35</f>
        <v/>
      </c>
      <c r="AC36" s="6">
        <f>AC11-AC35</f>
        <v/>
      </c>
      <c r="AD36" s="6">
        <f>AD11-AD35</f>
        <v/>
      </c>
      <c r="AE36" s="6">
        <f>AE11-AE35</f>
        <v/>
      </c>
      <c r="AF36" s="6">
        <f>AF11-AF35</f>
        <v/>
      </c>
      <c r="AG36" s="6">
        <f>AG11-AG35</f>
        <v/>
      </c>
      <c r="AH36" s="6">
        <f>AH11-AH35</f>
        <v/>
      </c>
      <c r="AI36" s="6">
        <f>AI11-AI35</f>
        <v/>
      </c>
      <c r="AJ36" s="6">
        <f>AJ11-AJ35</f>
        <v/>
      </c>
      <c r="AK36" s="6">
        <f>AK11-AK35</f>
        <v/>
      </c>
      <c r="AL36" s="6">
        <f>AL11-AL35</f>
        <v/>
      </c>
      <c r="AM36" s="6">
        <f>SUM(C37:AL37)</f>
        <v/>
      </c>
    </row>
    <row r="37" ht="25" customHeight="1">
      <c r="A37" s="35" t="inlineStr">
        <is>
          <t>Profit</t>
        </is>
      </c>
      <c r="B37" s="35" t="inlineStr">
        <is>
          <t>Cumulative EBITDA</t>
        </is>
      </c>
      <c r="C37" s="6">
        <f>C36</f>
        <v/>
      </c>
      <c r="D37" s="6">
        <f>C37+D36</f>
        <v/>
      </c>
      <c r="E37" s="6">
        <f>D37+E36</f>
        <v/>
      </c>
      <c r="F37" s="6">
        <f>E37+F36</f>
        <v/>
      </c>
      <c r="G37" s="6">
        <f>F37+G36</f>
        <v/>
      </c>
      <c r="H37" s="6">
        <f>G37+H36</f>
        <v/>
      </c>
      <c r="I37" s="6">
        <f>H37+I36</f>
        <v/>
      </c>
      <c r="J37" s="6">
        <f>I37+J36</f>
        <v/>
      </c>
      <c r="K37" s="6">
        <f>J37+K36</f>
        <v/>
      </c>
      <c r="L37" s="6">
        <f>K37+L36</f>
        <v/>
      </c>
      <c r="M37" s="6">
        <f>L37+M36</f>
        <v/>
      </c>
      <c r="N37" s="6">
        <f>M37+N36</f>
        <v/>
      </c>
      <c r="O37" s="6">
        <f>N37+O36</f>
        <v/>
      </c>
      <c r="P37" s="6">
        <f>O37+P36</f>
        <v/>
      </c>
      <c r="Q37" s="6">
        <f>P37+Q36</f>
        <v/>
      </c>
      <c r="R37" s="6">
        <f>Q37+R36</f>
        <v/>
      </c>
      <c r="S37" s="6">
        <f>R37+S36</f>
        <v/>
      </c>
      <c r="T37" s="6">
        <f>S37+T36</f>
        <v/>
      </c>
      <c r="U37" s="6">
        <f>T37+U36</f>
        <v/>
      </c>
      <c r="V37" s="6">
        <f>U37+V36</f>
        <v/>
      </c>
      <c r="W37" s="6">
        <f>V37+W36</f>
        <v/>
      </c>
      <c r="X37" s="6">
        <f>W37+X36</f>
        <v/>
      </c>
      <c r="Y37" s="6">
        <f>X37+Y36</f>
        <v/>
      </c>
      <c r="Z37" s="6">
        <f>Y37+Z36</f>
        <v/>
      </c>
      <c r="AA37" s="6">
        <f>Z37+AA36</f>
        <v/>
      </c>
      <c r="AB37" s="6">
        <f>AA37+AB36</f>
        <v/>
      </c>
      <c r="AC37" s="6">
        <f>AB37+AC36</f>
        <v/>
      </c>
      <c r="AD37" s="6">
        <f>AC37+AD36</f>
        <v/>
      </c>
      <c r="AE37" s="6">
        <f>AD37+AE36</f>
        <v/>
      </c>
      <c r="AF37" s="6">
        <f>AE37+AF36</f>
        <v/>
      </c>
      <c r="AG37" s="6">
        <f>AF37+AG36</f>
        <v/>
      </c>
      <c r="AH37" s="6">
        <f>AG37+AH36</f>
        <v/>
      </c>
      <c r="AI37" s="6">
        <f>AH37+AI36</f>
        <v/>
      </c>
      <c r="AJ37" s="6">
        <f>AI37+AJ36</f>
        <v/>
      </c>
      <c r="AK37" s="6">
        <f>AJ37+AK36</f>
        <v/>
      </c>
      <c r="AL37" s="6">
        <f>AK37+AL36</f>
        <v/>
      </c>
      <c r="AM37" s="6">
        <f>AL38</f>
        <v/>
      </c>
    </row>
    <row r="38" ht="25" customHeight="1">
      <c r="A38" s="30" t="inlineStr">
        <is>
          <t>Cash</t>
        </is>
      </c>
      <c r="B38" s="30" t="inlineStr">
        <is>
          <t>Peak Cash Need</t>
        </is>
      </c>
      <c r="C38" s="6">
        <f>ABS(MIN(0,C37))</f>
        <v/>
      </c>
      <c r="D38" s="6">
        <f>ABS(MIN(0,D37))</f>
        <v/>
      </c>
      <c r="E38" s="6">
        <f>ABS(MIN(0,E37))</f>
        <v/>
      </c>
      <c r="F38" s="6">
        <f>ABS(MIN(0,F37))</f>
        <v/>
      </c>
      <c r="G38" s="6">
        <f>ABS(MIN(0,G37))</f>
        <v/>
      </c>
      <c r="H38" s="6">
        <f>ABS(MIN(0,H37))</f>
        <v/>
      </c>
      <c r="I38" s="6">
        <f>ABS(MIN(0,I37))</f>
        <v/>
      </c>
      <c r="J38" s="6">
        <f>ABS(MIN(0,J37))</f>
        <v/>
      </c>
      <c r="K38" s="6">
        <f>ABS(MIN(0,K37))</f>
        <v/>
      </c>
      <c r="L38" s="6">
        <f>ABS(MIN(0,L37))</f>
        <v/>
      </c>
      <c r="M38" s="6">
        <f>ABS(MIN(0,M37))</f>
        <v/>
      </c>
      <c r="N38" s="6">
        <f>ABS(MIN(0,N37))</f>
        <v/>
      </c>
      <c r="O38" s="6">
        <f>ABS(MIN(0,O37))</f>
        <v/>
      </c>
      <c r="P38" s="6">
        <f>ABS(MIN(0,P37))</f>
        <v/>
      </c>
      <c r="Q38" s="6">
        <f>ABS(MIN(0,Q37))</f>
        <v/>
      </c>
      <c r="R38" s="6">
        <f>ABS(MIN(0,R37))</f>
        <v/>
      </c>
      <c r="S38" s="6">
        <f>ABS(MIN(0,S37))</f>
        <v/>
      </c>
      <c r="T38" s="6">
        <f>ABS(MIN(0,T37))</f>
        <v/>
      </c>
      <c r="U38" s="6">
        <f>ABS(MIN(0,U37))</f>
        <v/>
      </c>
      <c r="V38" s="6">
        <f>ABS(MIN(0,V37))</f>
        <v/>
      </c>
      <c r="W38" s="6">
        <f>ABS(MIN(0,W37))</f>
        <v/>
      </c>
      <c r="X38" s="6">
        <f>ABS(MIN(0,X37))</f>
        <v/>
      </c>
      <c r="Y38" s="6">
        <f>ABS(MIN(0,Y37))</f>
        <v/>
      </c>
      <c r="Z38" s="6">
        <f>ABS(MIN(0,Z37))</f>
        <v/>
      </c>
      <c r="AA38" s="6">
        <f>ABS(MIN(0,AA37))</f>
        <v/>
      </c>
      <c r="AB38" s="6">
        <f>ABS(MIN(0,AB37))</f>
        <v/>
      </c>
      <c r="AC38" s="6">
        <f>ABS(MIN(0,AC37))</f>
        <v/>
      </c>
      <c r="AD38" s="6">
        <f>ABS(MIN(0,AD37))</f>
        <v/>
      </c>
      <c r="AE38" s="6">
        <f>ABS(MIN(0,AE37))</f>
        <v/>
      </c>
      <c r="AF38" s="6">
        <f>ABS(MIN(0,AF37))</f>
        <v/>
      </c>
      <c r="AG38" s="6">
        <f>ABS(MIN(0,AG37))</f>
        <v/>
      </c>
      <c r="AH38" s="6">
        <f>ABS(MIN(0,AH37))</f>
        <v/>
      </c>
      <c r="AI38" s="6">
        <f>ABS(MIN(0,AI37))</f>
        <v/>
      </c>
      <c r="AJ38" s="6">
        <f>ABS(MIN(0,AJ37))</f>
        <v/>
      </c>
      <c r="AK38" s="6">
        <f>ABS(MIN(0,AK37))</f>
        <v/>
      </c>
      <c r="AL38" s="6">
        <f>ABS(MIN(0,AL37))</f>
        <v/>
      </c>
      <c r="AM38" s="6">
        <f>AL39</f>
        <v/>
      </c>
    </row>
    <row r="39" ht="25" customHeight="1"/>
  </sheetData>
  <autoFilter ref="A3:AM3"/>
  <mergeCells count="4">
    <mergeCell ref="O2:Z2"/>
    <mergeCell ref="AA2:AL2"/>
    <mergeCell ref="A1:AM1"/>
    <mergeCell ref="C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Spectra</dc:creator>
  <dcterms:created xsi:type="dcterms:W3CDTF">2026-05-14T16:16:20Z</dcterms:created>
  <dcterms:modified xsi:type="dcterms:W3CDTF">2026-05-14T21:48:47Z</dcterms:modified>
  <cp:lastModifiedBy>Spectra</cp:lastModifiedBy>
</cp:coreProperties>
</file>