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ssumptions" state="visible" r:id="rId5"/>
    <sheet sheetId="3" name="Forecast" state="visible" r:id="rId6"/>
  </sheets>
  <calcPr calcId="171027" fullCalcOnLoad="1"/>
</workbook>
</file>

<file path=xl/sharedStrings.xml><?xml version="1.0" encoding="utf-8"?>
<sst xmlns="http://schemas.openxmlformats.org/spreadsheetml/2006/main" count="404" uniqueCount="157">
  <si>
    <t>SPECTRA | Investor Forecast Summary</t>
  </si>
  <si>
    <t>Premium view of the live forecast: year milestones, cash need, breakeven, and chart-ready data.</t>
  </si>
  <si>
    <t>Metric</t>
  </si>
  <si>
    <t>Year 1</t>
  </si>
  <si>
    <t>Year 2</t>
  </si>
  <si>
    <t>Year 3</t>
  </si>
  <si>
    <t>Ending Subscribers</t>
  </si>
  <si>
    <t>New Subscribers</t>
  </si>
  <si>
    <t>Ending MRR</t>
  </si>
  <si>
    <t>Ending ARR</t>
  </si>
  <si>
    <t>Total Revenue</t>
  </si>
  <si>
    <t>Total Expenses</t>
  </si>
  <si>
    <t>EBITDA</t>
  </si>
  <si>
    <t>Breakeven Month</t>
  </si>
  <si>
    <t>Peak Cash Need</t>
  </si>
  <si>
    <t>Chart Data</t>
  </si>
  <si>
    <t>Use this block for ARR / MRR / Subscribers / EBITDA charts</t>
  </si>
  <si>
    <t>Month</t>
  </si>
  <si>
    <t>Subscribers</t>
  </si>
  <si>
    <t>MRR</t>
  </si>
  <si>
    <t>ARR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</si>
  <si>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</si>
  <si>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</si>
  <si>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</si>
  <si>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</si>
  <si>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</si>
  <si>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</si>
  <si>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</si>
  <si>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</si>
  <si>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</si>
  <si>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</si>
  <si>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</si>
  <si>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</si>
  <si>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</si>
  <si>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</si>
  <si>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</si>
  <si>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</si>
  <si>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</si>
  <si>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</si>
  <si>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</si>
  <si>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Jan 28</t>
  </si>
  <si>
    <t>Feb 28</t>
  </si>
  <si>
    <t>Mar 28</t>
  </si>
  <si>
    <t>Apr 28</t>
  </si>
  <si>
    <t>May 28</t>
  </si>
  <si>
    <t>Jun 28</t>
  </si>
  <si>
    <t>Jul 28</t>
  </si>
  <si>
    <t>Aug 28</t>
  </si>
  <si>
    <t>Sep 28</t>
  </si>
  <si>
    <t>Oct 28</t>
  </si>
  <si>
    <t>Nov 28</t>
  </si>
  <si>
    <t>Dec 28</t>
  </si>
  <si>
    <t>Jan 29</t>
  </si>
  <si>
    <t>Feb 29</t>
  </si>
  <si>
    <t>Mar 29</t>
  </si>
  <si>
    <t>Apr 29</t>
  </si>
  <si>
    <t>May 29</t>
  </si>
  <si>
    <t>SPECTRA | Assumptions Control Panel</t>
  </si>
  <si>
    <t>Change the warm gold cells. The Forecast and Summary tabs update from this control sheet.</t>
  </si>
  <si>
    <t>Generated from</t>
  </si>
  <si>
    <t>https://salonos.ai/.netlify/functions/financial-forecast</t>
  </si>
  <si>
    <t>Updated at</t>
  </si>
  <si>
    <t>2026-05-14T10:37:13.432Z</t>
  </si>
  <si>
    <t>Business Base</t>
  </si>
  <si>
    <t>Value</t>
  </si>
  <si>
    <t>Notes</t>
  </si>
  <si>
    <t>Starting Subscribers</t>
  </si>
  <si>
    <t>Editable input used by first forecast month.</t>
  </si>
  <si>
    <t>Current MRR</t>
  </si>
  <si>
    <t>Current monthly recurring revenue in USD.</t>
  </si>
  <si>
    <t>Starting ARPU</t>
  </si>
  <si>
    <t>Formula: Current MRR / Starting Subscribers.</t>
  </si>
  <si>
    <t>Israeli Customers</t>
  </si>
  <si>
    <t>Used by VAT Israel calculated row.</t>
  </si>
  <si>
    <t>VAT %</t>
  </si>
  <si>
    <t>Stored as a real Excel percentage.</t>
  </si>
  <si>
    <t>Forecast Start Month</t>
  </si>
  <si>
    <t>First model month.</t>
  </si>
  <si>
    <t>Forecast Months</t>
  </si>
  <si>
    <t>36-month forecast horizon.</t>
  </si>
  <si>
    <t>Monthly Growth Assumptions</t>
  </si>
  <si>
    <t>CAC, ARPU, churn and campaign spend by month</t>
  </si>
  <si>
    <t>CAC</t>
  </si>
  <si>
    <t>ARPU</t>
  </si>
  <si>
    <t>Churn %</t>
  </si>
  <si>
    <t>Campaign Spend</t>
  </si>
  <si>
    <t>Expense Assumptions</t>
  </si>
  <si>
    <t>Catalog of expense lines and how each line is calculated</t>
  </si>
  <si>
    <t>Line ID</t>
  </si>
  <si>
    <t>Category</t>
  </si>
  <si>
    <t>Expense Line</t>
  </si>
  <si>
    <t>Type</t>
  </si>
  <si>
    <t>Base / Unit</t>
  </si>
  <si>
    <t>rnd.achela</t>
  </si>
  <si>
    <t>Research &amp; Development</t>
  </si>
  <si>
    <t>Achela developer</t>
  </si>
  <si>
    <t>fixedUsd</t>
  </si>
  <si>
    <t>Fixed monthly USD amount.</t>
  </si>
  <si>
    <t>rnd.it</t>
  </si>
  <si>
    <t>IT / servers</t>
  </si>
  <si>
    <t>rnd.ai</t>
  </si>
  <si>
    <t>AI tools</t>
  </si>
  <si>
    <t>ms.campaigns</t>
  </si>
  <si>
    <t>Marketing &amp; Sales</t>
  </si>
  <si>
    <t>Campaigns</t>
  </si>
  <si>
    <t>linkedCampaigns</t>
  </si>
  <si>
    <t>Mirrors Monthly Growth Assumptions: Campaign Spend.</t>
  </si>
  <si>
    <t>ms.campaignMgr</t>
  </si>
  <si>
    <t>Campaign manager</t>
  </si>
  <si>
    <t>ms.content</t>
  </si>
  <si>
    <t>Content creation</t>
  </si>
  <si>
    <t>ms.tripleBundle</t>
  </si>
  <si>
    <t>Triple Bundle equipment</t>
  </si>
  <si>
    <t>calculatedTripleBundle</t>
  </si>
  <si>
    <t>Unit cost multiplied by New Subscribers.</t>
  </si>
  <si>
    <t>ops.support</t>
  </si>
  <si>
    <t>Operations</t>
  </si>
  <si>
    <t>Customer support - Yaar</t>
  </si>
  <si>
    <t>ops.installations</t>
  </si>
  <si>
    <t>Online installation manager</t>
  </si>
  <si>
    <t>mgmt.ceo</t>
  </si>
  <si>
    <t>Management</t>
  </si>
  <si>
    <t>CEO - Maor</t>
  </si>
  <si>
    <t>mgmt.coo</t>
  </si>
  <si>
    <t>COO - Elad</t>
  </si>
  <si>
    <t>admin.bookkeeping</t>
  </si>
  <si>
    <t>Accounting / Admin</t>
  </si>
  <si>
    <t>Bookkeeping</t>
  </si>
  <si>
    <t>admin.vat</t>
  </si>
  <si>
    <t>VAT Israel</t>
  </si>
  <si>
    <t>calculatedVat</t>
  </si>
  <si>
    <t>Rate multiplied by Israeli Customers and ARPU.</t>
  </si>
  <si>
    <t>admin.misc</t>
  </si>
  <si>
    <t>Miscellaneous / equipment</t>
  </si>
  <si>
    <t>custom.mp2pupvz.ydkan</t>
  </si>
  <si>
    <t>Costumer Sucsess</t>
  </si>
  <si>
    <t>custom.mp2pxruh.i0erl</t>
  </si>
  <si>
    <t>Leades Manager</t>
  </si>
  <si>
    <t>Expense Monthly Values</t>
  </si>
  <si>
    <t>Monthly editable expense matrix used by the Forecast sheet</t>
  </si>
  <si>
    <t>SPECTRA | 36-Month Financial Forecast</t>
  </si>
  <si>
    <t>Forecast Period</t>
  </si>
  <si>
    <t>36-month model</t>
  </si>
  <si>
    <t>Total / Ending</t>
  </si>
  <si>
    <t>Row</t>
  </si>
  <si>
    <t>Subscribers Start</t>
  </si>
  <si>
    <t>Churned Subscribers</t>
  </si>
  <si>
    <t>Subscribers End</t>
  </si>
  <si>
    <t>Growth Assumptions</t>
  </si>
  <si>
    <t>Marketing Acquisition Spend</t>
  </si>
  <si>
    <t>Revenue</t>
  </si>
  <si>
    <t>Expense category</t>
  </si>
  <si>
    <t>Expenses</t>
  </si>
  <si>
    <t>Profit</t>
  </si>
  <si>
    <t>EBITDA / Profit</t>
  </si>
  <si>
    <t>Cumulative EBITDA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</si>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</sst>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$#,##0;[Red]($#,##0);-"/>
    <numFmt numFmtId="166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21"/>
      <name val="Aptos"/>
    </font>
    <font>
      <i/>
      <color rgb="FF75695D"/>
      <sz val="13"/>
      <name val="Aptos"/>
    </font>
    <font>
      <b/>
      <color rgb="FFFFFFFF"/>
      <sz val="11"/>
      <name val="Aptos"/>
    </font>
    <font>
      <color rgb="FF211C18"/>
      <sz val="13"/>
      <name val="Aptos"/>
    </font>
    <font>
      <color rgb="FF211C18"/>
      <sz val="11"/>
      <name val="Aptos"/>
    </font>
    <font>
      <b/>
      <color rgb="FF211C18"/>
      <sz val="11"/>
      <name val="Aptos"/>
    </font>
    <font>
      <color rgb="FF211C18"/>
      <sz val="14"/>
      <name val="Aptos"/>
    </font>
    <font>
      <color rgb="FF211C18"/>
      <sz val="12"/>
      <name val="Aptos"/>
    </font>
    <font>
      <b/>
      <color rgb="FF211C18"/>
      <sz val="13"/>
      <name val="Aptos"/>
    </font>
    <font>
      <b/>
      <color rgb="FF211C18"/>
      <sz val="12"/>
      <name val="Aptos"/>
    </font>
  </fonts>
  <fills count="14">
    <fill>
      <patternFill patternType="none"/>
    </fill>
    <fill>
      <patternFill patternType="gray125"/>
    </fill>
    <fill>
      <patternFill patternType="solid">
        <fgColor rgb="FF14110E"/>
      </patternFill>
    </fill>
    <fill>
      <patternFill patternType="solid">
        <fgColor rgb="FFFAF7F0"/>
      </patternFill>
    </fill>
    <fill>
      <patternFill patternType="solid">
        <fgColor rgb="FFFFFCF7"/>
      </patternFill>
    </fill>
    <fill>
      <patternFill patternType="solid">
        <fgColor rgb="FFF4E8D7"/>
      </patternFill>
    </fill>
    <fill>
      <patternFill patternType="solid">
        <fgColor rgb="FFE8D2B4"/>
      </patternFill>
    </fill>
    <fill>
      <patternFill patternType="solid">
        <fgColor rgb="FFF8E6C8"/>
      </patternFill>
    </fill>
    <fill>
      <patternFill patternType="solid">
        <fgColor rgb="FFF7EBDD"/>
      </patternFill>
    </fill>
    <fill>
      <patternFill patternType="solid">
        <fgColor rgb="FFEED9BB"/>
      </patternFill>
    </fill>
    <fill>
      <patternFill patternType="solid">
        <fgColor rgb="FFDFC198"/>
      </patternFill>
    </fill>
    <fill>
      <patternFill patternType="solid">
        <fgColor rgb="FFB88B5B"/>
      </patternFill>
    </fill>
    <fill>
      <patternFill patternType="solid">
        <fgColor rgb="FFFAF1EC"/>
      </patternFill>
    </fill>
    <fill>
      <patternFill patternType="solid">
        <fgColor rgb="FFF5F0F7"/>
      </patternFill>
    </fill>
  </fills>
  <borders count="6">
    <border>
      <left/>
      <right/>
      <top/>
      <bottom/>
      <diagonal/>
    </border>
    <border>
      <left style="thin">
        <color rgb="FFE3D8CA"/>
      </left>
      <right style="thin">
        <color rgb="FFE3D8CA"/>
      </right>
      <top style="thin">
        <color rgb="FFE3D8CA"/>
      </top>
      <bottom style="thin">
        <color rgb="FFE3D8CA"/>
      </bottom>
      <diagonal/>
    </border>
    <border>
      <left style="hair">
        <color rgb="FF8D6845"/>
      </left>
      <right style="hair">
        <color rgb="FF8D6845"/>
      </right>
      <top style="hair">
        <color rgb="FF8D6845"/>
      </top>
      <bottom style="thin">
        <color rgb="FF8D6845"/>
      </bottom>
      <diagonal/>
    </border>
    <border>
      <left style="hair">
        <color rgb="FFE3D8CA"/>
      </left>
      <right style="hair">
        <color rgb="FFE3D8CA"/>
      </right>
      <top style="hair">
        <color rgb="FFE3D8CA"/>
      </top>
      <bottom style="thin">
        <color rgb="FFE3D8CA"/>
      </bottom>
      <diagonal/>
    </border>
    <border>
      <left style="hair">
        <color rgb="FF8D6845"/>
      </left>
      <right style="hair">
        <color rgb="FF8D6845"/>
      </right>
      <top style="thin">
        <color rgb="FF8D6845"/>
      </top>
      <bottom style="thin">
        <color rgb="FF8D6845"/>
      </bottom>
      <diagonal/>
    </border>
    <border>
      <left style="thin">
        <color rgb="FF8D6845"/>
      </left>
      <right style="thin">
        <color rgb="FF8D6845"/>
      </right>
      <top style="thin">
        <color rgb="FF8D6845"/>
      </top>
      <bottom style="thin">
        <color rgb="FF8D684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165" fontId="6" fillId="5" borderId="4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vertical="center" wrapText="1"/>
    </xf>
    <xf numFmtId="0" fontId="7" fillId="6" borderId="2" xfId="0" applyFont="1" applyFill="1" applyBorder="1"/>
    <xf numFmtId="0" fontId="8" fillId="3" borderId="1" xfId="0" applyFont="1" applyFill="1" applyBorder="1" applyAlignment="1">
      <alignment horizontal="left" vertical="center"/>
    </xf>
    <xf numFmtId="0" fontId="1" fillId="7" borderId="3" xfId="0" applyFont="1" applyFill="1" applyBorder="1" applyAlignment="1">
      <alignment horizontal="right" vertical="center"/>
    </xf>
    <xf numFmtId="0" fontId="2" fillId="7" borderId="3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vertical="center" wrapText="1"/>
    </xf>
    <xf numFmtId="0" fontId="8" fillId="7" borderId="3" xfId="0" applyFont="1" applyFill="1" applyBorder="1" applyAlignment="1">
      <alignment horizontal="left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7" fillId="6" borderId="2" xfId="0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left" vertical="center" wrapText="1"/>
    </xf>
    <xf numFmtId="3" fontId="8" fillId="7" borderId="3" xfId="0" applyNumberFormat="1" applyFont="1" applyFill="1" applyBorder="1" applyAlignment="1">
      <alignment horizontal="left" vertical="center" wrapText="1"/>
    </xf>
    <xf numFmtId="166" fontId="5" fillId="4" borderId="1" xfId="0" applyNumberFormat="1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right" vertical="center"/>
    </xf>
    <xf numFmtId="0" fontId="9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left" vertical="center" wrapText="1"/>
    </xf>
    <xf numFmtId="165" fontId="6" fillId="6" borderId="5" xfId="0" applyNumberFormat="1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10E"/>
  </sheetPr>
  <dimension ref="A1:E55"/>
  <sheetViews>
    <sheetView workbookViewId="0" showGridLines="0">
      <pane xSplit="1" ySplit="4" topLeftCell="B5" activePane="bottomRight" state="frozen"/>
      <selection pane="bottomRight"/>
    </sheetView>
  </sheetViews>
  <sheetFormatPr defaultRowHeight="25" customHeight="1"/>
  <cols>
    <col min="1" max="1" width="34" customWidth="1"/>
    <col min="2" max="5" width="24" customWidth="1"/>
  </cols>
  <sheetData>
    <row r="1" ht="38" customHeight="1" spans="1:5" x14ac:dyDescent="0.25">
      <c r="A1" s="1" t="s">
        <v>0</v>
      </c>
      <c r="B1" s="1"/>
      <c r="C1" s="1"/>
      <c r="D1" s="1"/>
      <c r="E1" s="1"/>
    </row>
    <row r="2" ht="34" customHeight="1" spans="1:5" x14ac:dyDescent="0.25">
      <c r="A2" s="2" t="s">
        <v>1</v>
      </c>
      <c r="B2" s="2"/>
      <c r="C2" s="2"/>
      <c r="D2" s="2"/>
      <c r="E2" s="2"/>
    </row>
    <row r="4" ht="29" customHeight="1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 t="s">
        <v>6</v>
      </c>
      <c r="B5" s="5">
        <f>'Forecast'!N7</f>
        <v>527.6833966547237</v>
      </c>
      <c r="C5" s="5">
        <f>'Forecast'!Z7</f>
        <v>1570.5060769077531</v>
      </c>
      <c r="D5" s="5">
        <f>'Forecast'!AL7</f>
        <v>3799.7295039713913</v>
      </c>
    </row>
    <row r="6" spans="1:4" x14ac:dyDescent="0.25">
      <c r="A6" s="4" t="s">
        <v>7</v>
      </c>
      <c r="B6" s="5">
        <f>SUM('Forecast'!C5:'Forecast'!N5)</f>
        <v>383.75</v>
      </c>
      <c r="C6" s="5">
        <f>SUM('Forecast'!O5:'Forecast'!Z5)</f>
        <v>1100</v>
      </c>
      <c r="D6" s="5">
        <f>SUM('Forecast'!AA5:'Forecast'!AL5)</f>
        <v>2377.5</v>
      </c>
    </row>
    <row r="7" spans="1:4" x14ac:dyDescent="0.25">
      <c r="A7" s="4" t="s">
        <v>8</v>
      </c>
      <c r="B7" s="6">
        <f>'Forecast'!N13</f>
        <v>63322.00759856684</v>
      </c>
      <c r="C7" s="6">
        <f>'Forecast'!Z13</f>
        <v>439741.7015341709</v>
      </c>
      <c r="D7" s="6">
        <f>'Forecast'!AL13</f>
        <v>1063924.2611119896</v>
      </c>
    </row>
    <row r="8" spans="1:4" x14ac:dyDescent="0.25">
      <c r="A8" s="4" t="s">
        <v>9</v>
      </c>
      <c r="B8" s="6">
        <f>'Forecast'!N14</f>
        <v>759864.0911828021</v>
      </c>
      <c r="C8" s="6">
        <f>'Forecast'!Z14</f>
        <v>5276900.418410051</v>
      </c>
      <c r="D8" s="6">
        <f>'Forecast'!AL14</f>
        <v>12767091.133343875</v>
      </c>
    </row>
    <row r="9" spans="1:4" x14ac:dyDescent="0.25">
      <c r="A9" s="4" t="s">
        <v>10</v>
      </c>
      <c r="B9" s="6">
        <f>SUM('Forecast'!C13:'Forecast'!N13)</f>
        <v>320491.5805706722</v>
      </c>
      <c r="C9" s="6">
        <f>SUM('Forecast'!O13:'Forecast'!Z13)</f>
        <v>2792551.456790393</v>
      </c>
      <c r="D9" s="6">
        <f>SUM('Forecast'!AA13:'Forecast'!AL13)</f>
        <v>8927670.64401406</v>
      </c>
    </row>
    <row r="10" spans="1:4" x14ac:dyDescent="0.25">
      <c r="A10" s="4" t="s">
        <v>11</v>
      </c>
      <c r="B10" s="6">
        <f>SUM('Forecast'!C36:'Forecast'!N36)</f>
        <v>598295.25</v>
      </c>
      <c r="C10" s="6">
        <f>SUM('Forecast'!O36:'Forecast'!Z36)</f>
        <v>1189636</v>
      </c>
      <c r="D10" s="6">
        <f>SUM('Forecast'!AA36:'Forecast'!AL36)</f>
        <v>1934940</v>
      </c>
    </row>
    <row r="11" spans="1:4" x14ac:dyDescent="0.25">
      <c r="A11" s="4" t="s">
        <v>12</v>
      </c>
      <c r="B11" s="6">
        <f>SUM('Forecast'!C37:'Forecast'!N37)</f>
        <v>-277803.6694293278</v>
      </c>
      <c r="C11" s="6">
        <f>SUM('Forecast'!O37:'Forecast'!Z37)</f>
        <v>1602915.456790393</v>
      </c>
      <c r="D11" s="6">
        <f>SUM('Forecast'!AA37:'Forecast'!AL37)</f>
        <v>6992730.6440140605</v>
      </c>
    </row>
    <row r="14" ht="30" customHeight="1" spans="1:5" x14ac:dyDescent="0.25">
      <c r="A14" s="7" t="s">
        <v>13</v>
      </c>
      <c r="B14" s="7" t="str">
        <f>IFERROR(INDEX(Forecast!$C$1:$AL$1,XMATCH(TRUE,Forecast!$C$37:$AL$37&gt;0)),"Not reached")</f>
        <v>Jun 27</v>
      </c>
      <c r="C14" s="8"/>
      <c r="D14" s="8"/>
      <c r="E14" s="8"/>
    </row>
    <row r="15" ht="30" customHeight="1" spans="1:5" x14ac:dyDescent="0.25">
      <c r="A15" s="7" t="s">
        <v>14</v>
      </c>
      <c r="B15" s="6">
        <f>ABS(MIN(0,MIN(Forecast!$C$38:$AL$38)))</f>
        <v>277803.6694293278</v>
      </c>
      <c r="C15" s="8"/>
      <c r="D15" s="8"/>
      <c r="E15" s="8"/>
    </row>
    <row r="18" ht="30" customHeight="1" spans="1:5" x14ac:dyDescent="0.25">
      <c r="A18" s="7" t="s">
        <v>15</v>
      </c>
      <c r="B18" s="7" t="s">
        <v>16</v>
      </c>
      <c r="C18" s="8"/>
      <c r="D18" s="8"/>
      <c r="E18" s="8"/>
    </row>
    <row r="19" ht="29" customHeight="1" spans="1:5" x14ac:dyDescent="0.25">
      <c r="A19" s="3" t="s">
        <v>17</v>
      </c>
      <c r="B19" s="3" t="s">
        <v>18</v>
      </c>
      <c r="C19" s="3" t="s">
        <v>19</v>
      </c>
      <c r="D19" s="3" t="s">
        <v>20</v>
      </c>
      <c r="E19" s="3" t="s">
        <v>12</v>
      </c>
    </row>
    <row r="20" spans="1:5" x14ac:dyDescent="0.25">
      <c r="A20" s="9" t="s">
        <v>21</v>
      </c>
      <c r="B20" s="5">
        <f>'Forecast'!C7</f>
        <v>170.45</v>
      </c>
      <c r="C20" s="6">
        <f>'Forecast'!C13</f>
        <v>11718.4375</v>
      </c>
      <c r="D20" s="6">
        <f>'Forecast'!C14</f>
        <v>140621.25</v>
      </c>
      <c r="E20" s="6">
        <f>'Forecast'!C37</f>
        <v>-26883.3125</v>
      </c>
    </row>
    <row r="21" spans="1:5" x14ac:dyDescent="0.25">
      <c r="A21" s="9" t="s">
        <v>22</v>
      </c>
      <c r="B21" s="5">
        <f>'Forecast'!D7</f>
        <v>180.84775</v>
      </c>
      <c r="C21" s="6">
        <f>'Forecast'!D13</f>
        <v>12433.2828125</v>
      </c>
      <c r="D21" s="6">
        <f>'Forecast'!D14</f>
        <v>149199.39375</v>
      </c>
      <c r="E21" s="6">
        <f>'Forecast'!D37</f>
        <v>-26168.4671875</v>
      </c>
    </row>
    <row r="22" spans="1:5" x14ac:dyDescent="0.25">
      <c r="A22" s="9" t="s">
        <v>23</v>
      </c>
      <c r="B22" s="5">
        <f>'Forecast'!E7</f>
        <v>194.94351125</v>
      </c>
      <c r="C22" s="6">
        <f>'Forecast'!E13</f>
        <v>13402.3663984375</v>
      </c>
      <c r="D22" s="6">
        <f>'Forecast'!E14</f>
        <v>160828.39678125</v>
      </c>
      <c r="E22" s="6">
        <f>'Forecast'!E37</f>
        <v>-26961.8836015625</v>
      </c>
    </row>
    <row r="23" spans="1:5" x14ac:dyDescent="0.25">
      <c r="A23" s="9" t="s">
        <v>24</v>
      </c>
      <c r="B23" s="5">
        <f>'Forecast'!F7</f>
        <v>208.96879369375</v>
      </c>
      <c r="C23" s="6">
        <f>'Forecast'!F13</f>
        <v>14366.604566445312</v>
      </c>
      <c r="D23" s="6">
        <f>'Forecast'!F14</f>
        <v>172399.25479734375</v>
      </c>
      <c r="E23" s="6">
        <f>'Forecast'!F37</f>
        <v>-25997.645433554688</v>
      </c>
    </row>
    <row r="24" spans="1:5" x14ac:dyDescent="0.25">
      <c r="A24" s="9" t="s">
        <v>25</v>
      </c>
      <c r="B24" s="5">
        <f>'Forecast'!G7</f>
        <v>226.67394972528126</v>
      </c>
      <c r="C24" s="6">
        <f>'Forecast'!G13</f>
        <v>15583.834043613087</v>
      </c>
      <c r="D24" s="6">
        <f>'Forecast'!G14</f>
        <v>187006.00852335704</v>
      </c>
      <c r="E24" s="6">
        <f>'Forecast'!G37</f>
        <v>-26542.91595638691</v>
      </c>
    </row>
    <row r="25" spans="1:5" x14ac:dyDescent="0.25">
      <c r="A25" s="9" t="s">
        <v>26</v>
      </c>
      <c r="B25" s="5">
        <f>'Forecast'!H7</f>
        <v>245.54057997665487</v>
      </c>
      <c r="C25" s="6">
        <f>'Forecast'!H13</f>
        <v>16880.91487339502</v>
      </c>
      <c r="D25" s="6">
        <f>'Forecast'!H14</f>
        <v>202570.97848074025</v>
      </c>
      <c r="E25" s="6">
        <f>'Forecast'!H37</f>
        <v>-25833.33512660498</v>
      </c>
    </row>
    <row r="26" spans="1:5" x14ac:dyDescent="0.25">
      <c r="A26" s="9" t="s">
        <v>27</v>
      </c>
      <c r="B26" s="5">
        <f>'Forecast'!I7</f>
        <v>269.31287707677154</v>
      </c>
      <c r="C26" s="6">
        <f>'Forecast'!I13</f>
        <v>18515.260299028043</v>
      </c>
      <c r="D26" s="6">
        <f>'Forecast'!I14</f>
        <v>222183.12358833652</v>
      </c>
      <c r="E26" s="6">
        <f>'Forecast'!I37</f>
        <v>-29381.989700971957</v>
      </c>
    </row>
    <row r="27" spans="1:5" x14ac:dyDescent="0.25">
      <c r="A27" s="9" t="s">
        <v>28</v>
      </c>
      <c r="B27" s="5">
        <f>'Forecast'!J7</f>
        <v>305.46631269138766</v>
      </c>
      <c r="C27" s="6">
        <f>'Forecast'!J13</f>
        <v>27491.96814222489</v>
      </c>
      <c r="D27" s="6">
        <f>'Forecast'!J14</f>
        <v>329903.6177066987</v>
      </c>
      <c r="E27" s="6">
        <f>'Forecast'!J37</f>
        <v>-26429.03185777511</v>
      </c>
    </row>
    <row r="28" spans="1:5" x14ac:dyDescent="0.25">
      <c r="A28" s="9" t="s">
        <v>29</v>
      </c>
      <c r="B28" s="5">
        <f>'Forecast'!K7</f>
        <v>361.43898112793073</v>
      </c>
      <c r="C28" s="6">
        <f>'Forecast'!K13</f>
        <v>32529.508301513764</v>
      </c>
      <c r="D28" s="6">
        <f>'Forecast'!K14</f>
        <v>390354.0996181652</v>
      </c>
      <c r="E28" s="6">
        <f>'Forecast'!K37</f>
        <v>-30791.491698486236</v>
      </c>
    </row>
    <row r="29" spans="1:5" x14ac:dyDescent="0.25">
      <c r="A29" s="9" t="s">
        <v>30</v>
      </c>
      <c r="B29" s="5">
        <f>'Forecast'!L7</f>
        <v>417.13178622229105</v>
      </c>
      <c r="C29" s="6">
        <f>'Forecast'!L13</f>
        <v>37541.860760006195</v>
      </c>
      <c r="D29" s="6">
        <f>'Forecast'!L14</f>
        <v>450502.32912007434</v>
      </c>
      <c r="E29" s="6">
        <f>'Forecast'!L37</f>
        <v>-25779.139239993805</v>
      </c>
    </row>
    <row r="30" spans="1:5" x14ac:dyDescent="0.25">
      <c r="A30" s="9" t="s">
        <v>31</v>
      </c>
      <c r="B30" s="5">
        <f>'Forecast'!M7</f>
        <v>472.5461272911796</v>
      </c>
      <c r="C30" s="6">
        <f>'Forecast'!M13</f>
        <v>56705.53527494155</v>
      </c>
      <c r="D30" s="6">
        <f>'Forecast'!M14</f>
        <v>680466.4232992986</v>
      </c>
      <c r="E30" s="6">
        <f>'Forecast'!M37</f>
        <v>-6825.464725058453</v>
      </c>
    </row>
    <row r="31" spans="1:5" x14ac:dyDescent="0.25">
      <c r="A31" s="9" t="s">
        <v>32</v>
      </c>
      <c r="B31" s="5">
        <f>'Forecast'!N7</f>
        <v>527.6833966547237</v>
      </c>
      <c r="C31" s="6">
        <f>'Forecast'!N13</f>
        <v>63322.00759856684</v>
      </c>
      <c r="D31" s="6">
        <f>'Forecast'!N14</f>
        <v>759864.0911828021</v>
      </c>
      <c r="E31" s="6">
        <f>'Forecast'!N37</f>
        <v>-208.99240143316274</v>
      </c>
    </row>
    <row r="32" spans="1:5" x14ac:dyDescent="0.25">
      <c r="A32" s="9" t="s">
        <v>33</v>
      </c>
      <c r="B32" s="5">
        <f>'Forecast'!O7</f>
        <v>595.04497967145</v>
      </c>
      <c r="C32" s="6">
        <f>'Forecast'!O13</f>
        <v>89256.74695071751</v>
      </c>
      <c r="D32" s="6">
        <f>'Forecast'!O14</f>
        <v>1071080.96340861</v>
      </c>
      <c r="E32" s="6">
        <f>'Forecast'!O37</f>
        <v>3140.746950717512</v>
      </c>
    </row>
    <row r="33" spans="1:5" x14ac:dyDescent="0.25">
      <c r="A33" s="9" t="s">
        <v>34</v>
      </c>
      <c r="B33" s="5">
        <f>'Forecast'!P7</f>
        <v>662.0697547730928</v>
      </c>
      <c r="C33" s="6">
        <f>'Forecast'!P13</f>
        <v>99310.46321596391</v>
      </c>
      <c r="D33" s="6">
        <f>'Forecast'!P14</f>
        <v>1191725.558591567</v>
      </c>
      <c r="E33" s="6">
        <f>'Forecast'!P37</f>
        <v>13194.463215963915</v>
      </c>
    </row>
    <row r="34" spans="1:5" x14ac:dyDescent="0.25">
      <c r="A34" s="9" t="s">
        <v>35</v>
      </c>
      <c r="B34" s="5">
        <f>'Forecast'!Q7</f>
        <v>728.7594059992273</v>
      </c>
      <c r="C34" s="6">
        <f>'Forecast'!Q13</f>
        <v>109313.9108998841</v>
      </c>
      <c r="D34" s="6">
        <f>'Forecast'!Q14</f>
        <v>1311766.9307986093</v>
      </c>
      <c r="E34" s="6">
        <f>'Forecast'!Q37</f>
        <v>23197.910899884097</v>
      </c>
    </row>
    <row r="35" spans="1:5" x14ac:dyDescent="0.25">
      <c r="A35" s="9" t="s">
        <v>36</v>
      </c>
      <c r="B35" s="5">
        <f>'Forecast'!R7</f>
        <v>807.6156089692312</v>
      </c>
      <c r="C35" s="6">
        <f>'Forecast'!R13</f>
        <v>145370.8096144616</v>
      </c>
      <c r="D35" s="6">
        <f>'Forecast'!R14</f>
        <v>1744449.7153735394</v>
      </c>
      <c r="E35" s="6">
        <f>'Forecast'!R37</f>
        <v>53169.809614461614</v>
      </c>
    </row>
    <row r="36" spans="1:5" x14ac:dyDescent="0.25">
      <c r="A36" s="9" t="s">
        <v>37</v>
      </c>
      <c r="B36" s="5">
        <f>'Forecast'!S7</f>
        <v>886.077530924385</v>
      </c>
      <c r="C36" s="6">
        <f>'Forecast'!S13</f>
        <v>159493.95556638928</v>
      </c>
      <c r="D36" s="6">
        <f>'Forecast'!S14</f>
        <v>1913927.4667966715</v>
      </c>
      <c r="E36" s="6">
        <f>'Forecast'!S37</f>
        <v>67292.95556638928</v>
      </c>
    </row>
    <row r="37" spans="1:5" x14ac:dyDescent="0.25">
      <c r="A37" s="9" t="s">
        <v>38</v>
      </c>
      <c r="B37" s="5">
        <f>'Forecast'!T7</f>
        <v>964.1471432697631</v>
      </c>
      <c r="C37" s="6">
        <f>'Forecast'!T13</f>
        <v>192829.4286539526</v>
      </c>
      <c r="D37" s="6">
        <f>'Forecast'!T14</f>
        <v>2313953.143847431</v>
      </c>
      <c r="E37" s="6">
        <f>'Forecast'!T37</f>
        <v>100488.42865395261</v>
      </c>
    </row>
    <row r="38" spans="1:5" x14ac:dyDescent="0.25">
      <c r="A38" s="9" t="s">
        <v>39</v>
      </c>
      <c r="B38" s="5">
        <f>'Forecast'!U7</f>
        <v>1051.8264075534144</v>
      </c>
      <c r="C38" s="6">
        <f>'Forecast'!U13</f>
        <v>210365.28151068286</v>
      </c>
      <c r="D38" s="6">
        <f>'Forecast'!U14</f>
        <v>2524383.3781281943</v>
      </c>
      <c r="E38" s="6">
        <f>'Forecast'!U37</f>
        <v>108490.28151068286</v>
      </c>
    </row>
    <row r="39" spans="1:5" x14ac:dyDescent="0.25">
      <c r="A39" s="9" t="s">
        <v>40</v>
      </c>
      <c r="B39" s="5">
        <f>'Forecast'!V7</f>
        <v>1151.5672755156472</v>
      </c>
      <c r="C39" s="6">
        <f>'Forecast'!V13</f>
        <v>287891.8188789118</v>
      </c>
      <c r="D39" s="6">
        <f>'Forecast'!V14</f>
        <v>3454701.8265469414</v>
      </c>
      <c r="E39" s="6">
        <f>'Forecast'!V37</f>
        <v>179791.81887891178</v>
      </c>
    </row>
    <row r="40" spans="1:5" x14ac:dyDescent="0.25">
      <c r="A40" s="9" t="s">
        <v>41</v>
      </c>
      <c r="B40" s="5">
        <f>'Forecast'!W7</f>
        <v>1250.809439138069</v>
      </c>
      <c r="C40" s="6">
        <f>'Forecast'!W13</f>
        <v>312702.3597845172</v>
      </c>
      <c r="D40" s="6">
        <f>'Forecast'!W14</f>
        <v>3752428.3174142065</v>
      </c>
      <c r="E40" s="6">
        <f>'Forecast'!W37</f>
        <v>204602.3597845172</v>
      </c>
    </row>
    <row r="41" spans="1:5" x14ac:dyDescent="0.25">
      <c r="A41" s="9" t="s">
        <v>42</v>
      </c>
      <c r="B41" s="5">
        <f>'Forecast'!X7</f>
        <v>1349.5553919423785</v>
      </c>
      <c r="C41" s="6">
        <f>'Forecast'!X13</f>
        <v>337388.84798559465</v>
      </c>
      <c r="D41" s="6">
        <f>'Forecast'!X14</f>
        <v>4048666.175827136</v>
      </c>
      <c r="E41" s="6">
        <f>'Forecast'!X37</f>
        <v>229288.84798559465</v>
      </c>
    </row>
    <row r="42" spans="1:5" x14ac:dyDescent="0.25">
      <c r="A42" s="9" t="s">
        <v>43</v>
      </c>
      <c r="B42" s="5">
        <f>'Forecast'!Y7</f>
        <v>1460.3076149826666</v>
      </c>
      <c r="C42" s="6">
        <f>'Forecast'!Y13</f>
        <v>408886.13219514664</v>
      </c>
      <c r="D42" s="6">
        <f>'Forecast'!Y14</f>
        <v>4906633.586341759</v>
      </c>
      <c r="E42" s="6">
        <f>'Forecast'!Y37</f>
        <v>294701.13219514664</v>
      </c>
    </row>
    <row r="43" spans="1:5" x14ac:dyDescent="0.25">
      <c r="A43" s="9" t="s">
        <v>44</v>
      </c>
      <c r="B43" s="5">
        <f>'Forecast'!Z7</f>
        <v>1570.5060769077531</v>
      </c>
      <c r="C43" s="6">
        <f>'Forecast'!Z13</f>
        <v>439741.7015341709</v>
      </c>
      <c r="D43" s="6">
        <f>'Forecast'!Z14</f>
        <v>5276900.418410051</v>
      </c>
      <c r="E43" s="6">
        <f>'Forecast'!Z37</f>
        <v>325556.7015341709</v>
      </c>
    </row>
    <row r="44" spans="1:5" x14ac:dyDescent="0.25">
      <c r="A44" s="9" t="s">
        <v>45</v>
      </c>
      <c r="B44" s="5">
        <f>'Forecast'!AA7</f>
        <v>1707.6535465232143</v>
      </c>
      <c r="C44" s="6">
        <f>'Forecast'!AA13</f>
        <v>478142.99302650004</v>
      </c>
      <c r="D44" s="6">
        <f>'Forecast'!AA14</f>
        <v>5737715.916318</v>
      </c>
      <c r="E44" s="6">
        <f>'Forecast'!AA37</f>
        <v>342866.74302650004</v>
      </c>
    </row>
    <row r="45" spans="1:5" x14ac:dyDescent="0.25">
      <c r="A45" s="9" t="s">
        <v>46</v>
      </c>
      <c r="B45" s="5">
        <f>'Forecast'!AB7</f>
        <v>1844.1152787905983</v>
      </c>
      <c r="C45" s="6">
        <f>'Forecast'!AB13</f>
        <v>516352.2780613675</v>
      </c>
      <c r="D45" s="6">
        <f>'Forecast'!AB14</f>
        <v>6196227.33673641</v>
      </c>
      <c r="E45" s="6">
        <f>'Forecast'!AB37</f>
        <v>381076.0280613675</v>
      </c>
    </row>
    <row r="46" spans="1:5" x14ac:dyDescent="0.25">
      <c r="A46" s="9" t="s">
        <v>47</v>
      </c>
      <c r="B46" s="5">
        <f>'Forecast'!AC7</f>
        <v>1992.3947023966452</v>
      </c>
      <c r="C46" s="6">
        <f>'Forecast'!AC13</f>
        <v>557870.5166710607</v>
      </c>
      <c r="D46" s="6">
        <f>'Forecast'!AC14</f>
        <v>6694446.200052729</v>
      </c>
      <c r="E46" s="6">
        <f>'Forecast'!AC37</f>
        <v>416719.2666710607</v>
      </c>
    </row>
    <row r="47" spans="1:5" x14ac:dyDescent="0.25">
      <c r="A47" s="9" t="s">
        <v>48</v>
      </c>
      <c r="B47" s="5">
        <f>'Forecast'!AD7</f>
        <v>2152.432728884662</v>
      </c>
      <c r="C47" s="6">
        <f>'Forecast'!AD13</f>
        <v>602681.1640877054</v>
      </c>
      <c r="D47" s="6">
        <f>'Forecast'!AD14</f>
        <v>7232173.969052466</v>
      </c>
      <c r="E47" s="6">
        <f>'Forecast'!AD37</f>
        <v>455654.91408770543</v>
      </c>
    </row>
    <row r="48" spans="1:5" x14ac:dyDescent="0.25">
      <c r="A48" s="9" t="s">
        <v>49</v>
      </c>
      <c r="B48" s="5">
        <f>'Forecast'!AE7</f>
        <v>2311.670565240239</v>
      </c>
      <c r="C48" s="6">
        <f>'Forecast'!AE13</f>
        <v>647267.7582672669</v>
      </c>
      <c r="D48" s="6">
        <f>'Forecast'!AE14</f>
        <v>7767213.099207203</v>
      </c>
      <c r="E48" s="6">
        <f>'Forecast'!AE37</f>
        <v>500241.5082672669</v>
      </c>
    </row>
    <row r="49" spans="1:5" x14ac:dyDescent="0.25">
      <c r="A49" s="9" t="s">
        <v>50</v>
      </c>
      <c r="B49" s="5">
        <f>'Forecast'!AF7</f>
        <v>2470.1122124140375</v>
      </c>
      <c r="C49" s="6">
        <f>'Forecast'!AF13</f>
        <v>691631.4194759305</v>
      </c>
      <c r="D49" s="6">
        <f>'Forecast'!AF14</f>
        <v>8299577.033711166</v>
      </c>
      <c r="E49" s="6">
        <f>'Forecast'!AF37</f>
        <v>544605.1694759305</v>
      </c>
    </row>
    <row r="50" spans="1:5" x14ac:dyDescent="0.25">
      <c r="A50" s="9" t="s">
        <v>51</v>
      </c>
      <c r="B50" s="5">
        <f>'Forecast'!AG7</f>
        <v>2677.7616513519674</v>
      </c>
      <c r="C50" s="6">
        <f>'Forecast'!AG13</f>
        <v>749773.2623785508</v>
      </c>
      <c r="D50" s="6">
        <f>'Forecast'!AG14</f>
        <v>8997279.148542609</v>
      </c>
      <c r="E50" s="6">
        <f>'Forecast'!AG37</f>
        <v>577247.0123785508</v>
      </c>
    </row>
    <row r="51" spans="1:5" x14ac:dyDescent="0.25">
      <c r="A51" s="9" t="s">
        <v>52</v>
      </c>
      <c r="B51" s="5">
        <f>'Forecast'!AH7</f>
        <v>2896.8728430952074</v>
      </c>
      <c r="C51" s="6">
        <f>'Forecast'!AH13</f>
        <v>811124.3960666581</v>
      </c>
      <c r="D51" s="6">
        <f>'Forecast'!AH14</f>
        <v>9733492.752799897</v>
      </c>
      <c r="E51" s="6">
        <f>'Forecast'!AH37</f>
        <v>632723.1460666581</v>
      </c>
    </row>
    <row r="52" spans="1:5" x14ac:dyDescent="0.25">
      <c r="A52" s="9" t="s">
        <v>53</v>
      </c>
      <c r="B52" s="5">
        <f>'Forecast'!AI7</f>
        <v>3114.8884788797313</v>
      </c>
      <c r="C52" s="6">
        <f>'Forecast'!AI13</f>
        <v>872168.7740863247</v>
      </c>
      <c r="D52" s="6">
        <f>'Forecast'!AI14</f>
        <v>10466025.289035898</v>
      </c>
      <c r="E52" s="6">
        <f>'Forecast'!AI37</f>
        <v>693767.5240863247</v>
      </c>
    </row>
    <row r="53" spans="1:5" x14ac:dyDescent="0.25">
      <c r="A53" s="9" t="s">
        <v>54</v>
      </c>
      <c r="B53" s="5">
        <f>'Forecast'!AJ7</f>
        <v>3344.3140364853325</v>
      </c>
      <c r="C53" s="6">
        <f>'Forecast'!AJ13</f>
        <v>936407.9302158931</v>
      </c>
      <c r="D53" s="6">
        <f>'Forecast'!AJ14</f>
        <v>11236895.162590716</v>
      </c>
      <c r="E53" s="6">
        <f>'Forecast'!AJ37</f>
        <v>752131.6802158931</v>
      </c>
    </row>
    <row r="54" spans="1:5" x14ac:dyDescent="0.25">
      <c r="A54" s="9" t="s">
        <v>55</v>
      </c>
      <c r="B54" s="5">
        <f>'Forecast'!AK7</f>
        <v>3572.592466302906</v>
      </c>
      <c r="C54" s="6">
        <f>'Forecast'!AK13</f>
        <v>1000325.8905648136</v>
      </c>
      <c r="D54" s="6">
        <f>'Forecast'!AK14</f>
        <v>12003910.686777763</v>
      </c>
      <c r="E54" s="6">
        <f>'Forecast'!AK37</f>
        <v>816049.6405648136</v>
      </c>
    </row>
    <row r="55" spans="1:5" x14ac:dyDescent="0.25">
      <c r="A55" s="9" t="s">
        <v>56</v>
      </c>
      <c r="B55" s="5">
        <f>'Forecast'!AL7</f>
        <v>3799.7295039713913</v>
      </c>
      <c r="C55" s="6">
        <f>'Forecast'!AL13</f>
        <v>1063924.2611119896</v>
      </c>
      <c r="D55" s="6">
        <f>'Forecast'!AL14</f>
        <v>12767091.133343875</v>
      </c>
      <c r="E55" s="6">
        <f>'Forecast'!AL37</f>
        <v>879648.0111119896</v>
      </c>
    </row>
  </sheetData>
  <mergeCells count="2">
    <mergeCell ref="A1:E1"/>
    <mergeCell ref="A2:E2"/>
  </mergeCel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8D2B4"/>
  </sheetPr>
  <dimension ref="A1:AP97"/>
  <sheetViews>
    <sheetView workbookViewId="0" showGridLines="0">
      <pane xSplit="2" ySplit="20" topLeftCell="C21" activePane="bottomRight" state="frozen"/>
      <selection pane="bottomRight"/>
    </sheetView>
  </sheetViews>
  <sheetFormatPr defaultRowHeight="25" customHeight="1"/>
  <cols>
    <col min="1" max="1" width="30" customWidth="1"/>
    <col min="2" max="2" width="38" customWidth="1"/>
    <col min="3" max="3" width="46" customWidth="1"/>
    <col min="4" max="4" width="24" customWidth="1"/>
    <col min="5" max="5" width="20" customWidth="1"/>
    <col min="6" max="6" width="62" customWidth="1"/>
    <col min="7" max="42" width="15.5" customWidth="1"/>
  </cols>
  <sheetData>
    <row r="1" ht="25" customHeight="1" spans="1:42" x14ac:dyDescent="0.25">
      <c r="A1" s="10" t="s">
        <v>57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</row>
    <row r="2" ht="25" customHeight="1" spans="1:42" x14ac:dyDescent="0.25">
      <c r="A2" s="11" t="s">
        <v>58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ht="25" customHeight="1" spans="1:2" x14ac:dyDescent="0.25">
      <c r="A3" s="12" t="s">
        <v>59</v>
      </c>
      <c r="B3" s="13" t="s">
        <v>60</v>
      </c>
    </row>
    <row r="4" ht="25" customHeight="1" spans="1:2" x14ac:dyDescent="0.25">
      <c r="A4" s="12" t="s">
        <v>61</v>
      </c>
      <c r="B4" s="13" t="s">
        <v>62</v>
      </c>
    </row>
    <row r="5" ht="25" customHeight="1" spans="1:1" x14ac:dyDescent="0.25"/>
    <row r="6" ht="29" customHeight="1" spans="1:42" x14ac:dyDescent="0.25">
      <c r="A6" s="7" t="s">
        <v>63</v>
      </c>
      <c r="B6" s="14"/>
      <c r="C6" s="14"/>
      <c r="D6" s="14"/>
      <c r="E6" s="14"/>
      <c r="F6" s="14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</row>
    <row r="7" ht="29" customHeight="1" spans="1:3" x14ac:dyDescent="0.25">
      <c r="A7" s="3" t="s">
        <v>2</v>
      </c>
      <c r="B7" s="16" t="s">
        <v>64</v>
      </c>
      <c r="C7" s="16" t="s">
        <v>65</v>
      </c>
    </row>
    <row r="8" ht="25" customHeight="1" spans="1:3" x14ac:dyDescent="0.25">
      <c r="A8" s="12" t="s">
        <v>66</v>
      </c>
      <c r="B8" s="17">
        <v>160</v>
      </c>
      <c r="C8" s="13" t="s">
        <v>67</v>
      </c>
    </row>
    <row r="9" ht="25" customHeight="1" spans="1:3" x14ac:dyDescent="0.25">
      <c r="A9" s="12" t="s">
        <v>68</v>
      </c>
      <c r="B9" s="6">
        <v>11000</v>
      </c>
      <c r="C9" s="13" t="s">
        <v>69</v>
      </c>
    </row>
    <row r="10" ht="25" customHeight="1" spans="1:3" x14ac:dyDescent="0.25">
      <c r="A10" s="12" t="s">
        <v>70</v>
      </c>
      <c r="B10" s="6">
        <f>B9/B8</f>
        <v>68.75</v>
      </c>
      <c r="C10" s="13" t="s">
        <v>71</v>
      </c>
    </row>
    <row r="11" ht="25" customHeight="1" spans="1:3" x14ac:dyDescent="0.25">
      <c r="A11" s="12" t="s">
        <v>72</v>
      </c>
      <c r="B11" s="17">
        <v>70</v>
      </c>
      <c r="C11" s="13" t="s">
        <v>73</v>
      </c>
    </row>
    <row r="12" ht="25" customHeight="1" spans="1:3" x14ac:dyDescent="0.25">
      <c r="A12" s="12" t="s">
        <v>74</v>
      </c>
      <c r="B12" s="18">
        <v>0.1</v>
      </c>
      <c r="C12" s="13" t="s">
        <v>75</v>
      </c>
    </row>
    <row r="13" ht="25" customHeight="1" spans="1:3" x14ac:dyDescent="0.25">
      <c r="A13" s="12" t="s">
        <v>76</v>
      </c>
      <c r="B13" s="13" t="s">
        <v>21</v>
      </c>
      <c r="C13" s="13" t="s">
        <v>77</v>
      </c>
    </row>
    <row r="14" ht="25" customHeight="1" spans="1:3" x14ac:dyDescent="0.25">
      <c r="A14" s="12" t="s">
        <v>78</v>
      </c>
      <c r="B14" s="17">
        <v>36</v>
      </c>
      <c r="C14" s="13" t="s">
        <v>79</v>
      </c>
    </row>
    <row r="15" ht="25" customHeight="1" spans="1:1" x14ac:dyDescent="0.25"/>
    <row r="16" ht="25" customHeight="1" spans="1:1" x14ac:dyDescent="0.25"/>
    <row r="17" ht="25" customHeight="1" spans="1:1" x14ac:dyDescent="0.25"/>
    <row r="18" ht="29" customHeight="1" spans="1:42" x14ac:dyDescent="0.25">
      <c r="A18" s="7" t="s">
        <v>80</v>
      </c>
      <c r="B18" s="14" t="s">
        <v>81</v>
      </c>
      <c r="C18" s="14"/>
      <c r="D18" s="14"/>
      <c r="E18" s="14"/>
      <c r="F18" s="14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</row>
    <row r="19" ht="29" customHeight="1" spans="1:5" x14ac:dyDescent="0.25">
      <c r="A19" s="3" t="s">
        <v>17</v>
      </c>
      <c r="B19" s="16" t="s">
        <v>82</v>
      </c>
      <c r="C19" s="16" t="s">
        <v>83</v>
      </c>
      <c r="D19" s="16" t="s">
        <v>84</v>
      </c>
      <c r="E19" s="16" t="s">
        <v>85</v>
      </c>
    </row>
    <row r="20" ht="25" customHeight="1" spans="1:5" x14ac:dyDescent="0.25">
      <c r="A20" s="12" t="s">
        <v>21</v>
      </c>
      <c r="B20" s="6">
        <v>400</v>
      </c>
      <c r="C20" s="6">
        <v>68.75</v>
      </c>
      <c r="D20" s="18">
        <v>0.005</v>
      </c>
      <c r="E20" s="6">
        <v>1500</v>
      </c>
    </row>
    <row r="21" ht="25" customHeight="1" spans="1:5" x14ac:dyDescent="0.25">
      <c r="A21" s="12" t="s">
        <v>22</v>
      </c>
      <c r="B21" s="6">
        <v>400</v>
      </c>
      <c r="C21" s="6">
        <v>68.75</v>
      </c>
      <c r="D21" s="18">
        <v>0.005</v>
      </c>
      <c r="E21" s="6">
        <v>1500</v>
      </c>
    </row>
    <row r="22" ht="25" customHeight="1" spans="1:5" x14ac:dyDescent="0.25">
      <c r="A22" s="12" t="s">
        <v>23</v>
      </c>
      <c r="B22" s="6">
        <v>400</v>
      </c>
      <c r="C22" s="6">
        <v>68.75</v>
      </c>
      <c r="D22" s="18">
        <v>0.005</v>
      </c>
      <c r="E22" s="6">
        <v>3000</v>
      </c>
    </row>
    <row r="23" ht="25" customHeight="1" spans="1:5" x14ac:dyDescent="0.25">
      <c r="A23" s="12" t="s">
        <v>24</v>
      </c>
      <c r="B23" s="6">
        <v>400</v>
      </c>
      <c r="C23" s="6">
        <v>68.75</v>
      </c>
      <c r="D23" s="18">
        <v>0.005</v>
      </c>
      <c r="E23" s="6">
        <v>3000</v>
      </c>
    </row>
    <row r="24" ht="25" customHeight="1" spans="1:5" x14ac:dyDescent="0.25">
      <c r="A24" s="12" t="s">
        <v>25</v>
      </c>
      <c r="B24" s="6">
        <v>400</v>
      </c>
      <c r="C24" s="6">
        <v>68.75</v>
      </c>
      <c r="D24" s="18">
        <v>0.005</v>
      </c>
      <c r="E24" s="6">
        <v>4500</v>
      </c>
    </row>
    <row r="25" ht="25" customHeight="1" spans="1:5" x14ac:dyDescent="0.25">
      <c r="A25" s="12" t="s">
        <v>26</v>
      </c>
      <c r="B25" s="6">
        <v>400</v>
      </c>
      <c r="C25" s="6">
        <v>68.75</v>
      </c>
      <c r="D25" s="18">
        <v>0.005</v>
      </c>
      <c r="E25" s="6">
        <v>5000</v>
      </c>
    </row>
    <row r="26" ht="25" customHeight="1" spans="1:5" x14ac:dyDescent="0.25">
      <c r="A26" s="12" t="s">
        <v>27</v>
      </c>
      <c r="B26" s="6">
        <v>400</v>
      </c>
      <c r="C26" s="6">
        <v>68.75</v>
      </c>
      <c r="D26" s="18">
        <v>0.005</v>
      </c>
      <c r="E26" s="6">
        <v>7000</v>
      </c>
    </row>
    <row r="27" ht="25" customHeight="1" spans="1:5" x14ac:dyDescent="0.25">
      <c r="A27" s="12" t="s">
        <v>28</v>
      </c>
      <c r="B27" s="6">
        <v>400</v>
      </c>
      <c r="C27" s="6">
        <v>90</v>
      </c>
      <c r="D27" s="18">
        <v>0.005</v>
      </c>
      <c r="E27" s="6">
        <v>12000</v>
      </c>
    </row>
    <row r="28" ht="25" customHeight="1" spans="1:5" x14ac:dyDescent="0.25">
      <c r="A28" s="12" t="s">
        <v>29</v>
      </c>
      <c r="B28" s="6">
        <v>400</v>
      </c>
      <c r="C28" s="6">
        <v>90</v>
      </c>
      <c r="D28" s="18">
        <v>0.005</v>
      </c>
      <c r="E28" s="6">
        <v>20000</v>
      </c>
    </row>
    <row r="29" ht="25" customHeight="1" spans="1:5" x14ac:dyDescent="0.25">
      <c r="A29" s="12" t="s">
        <v>30</v>
      </c>
      <c r="B29" s="6">
        <v>400</v>
      </c>
      <c r="C29" s="6">
        <v>90</v>
      </c>
      <c r="D29" s="18">
        <v>0.005</v>
      </c>
      <c r="E29" s="6">
        <v>20000</v>
      </c>
    </row>
    <row r="30" ht="25" customHeight="1" spans="1:5" x14ac:dyDescent="0.25">
      <c r="A30" s="12" t="s">
        <v>31</v>
      </c>
      <c r="B30" s="6">
        <v>400</v>
      </c>
      <c r="C30" s="6">
        <v>120</v>
      </c>
      <c r="D30" s="18">
        <v>0.005</v>
      </c>
      <c r="E30" s="6">
        <v>20000</v>
      </c>
    </row>
    <row r="31" ht="25" customHeight="1" spans="1:5" x14ac:dyDescent="0.25">
      <c r="A31" s="12" t="s">
        <v>32</v>
      </c>
      <c r="B31" s="6">
        <v>400</v>
      </c>
      <c r="C31" s="6">
        <v>120</v>
      </c>
      <c r="D31" s="18">
        <v>0.005</v>
      </c>
      <c r="E31" s="6">
        <v>20000</v>
      </c>
    </row>
    <row r="32" ht="25" customHeight="1" spans="1:5" x14ac:dyDescent="0.25">
      <c r="A32" s="12" t="s">
        <v>33</v>
      </c>
      <c r="B32" s="6">
        <v>400</v>
      </c>
      <c r="C32" s="6">
        <v>150</v>
      </c>
      <c r="D32" s="18">
        <v>0.005</v>
      </c>
      <c r="E32" s="6">
        <v>25000</v>
      </c>
    </row>
    <row r="33" ht="25" customHeight="1" spans="1:5" x14ac:dyDescent="0.25">
      <c r="A33" s="12" t="s">
        <v>34</v>
      </c>
      <c r="B33" s="6">
        <v>400</v>
      </c>
      <c r="C33" s="6">
        <v>150</v>
      </c>
      <c r="D33" s="18">
        <v>0.005</v>
      </c>
      <c r="E33" s="6">
        <v>25000</v>
      </c>
    </row>
    <row r="34" ht="25" customHeight="1" spans="1:5" x14ac:dyDescent="0.25">
      <c r="A34" s="12" t="s">
        <v>35</v>
      </c>
      <c r="B34" s="6">
        <v>400</v>
      </c>
      <c r="C34" s="6">
        <v>150</v>
      </c>
      <c r="D34" s="18">
        <v>0.005</v>
      </c>
      <c r="E34" s="6">
        <v>25000</v>
      </c>
    </row>
    <row r="35" ht="25" customHeight="1" spans="1:5" x14ac:dyDescent="0.25">
      <c r="A35" s="12" t="s">
        <v>36</v>
      </c>
      <c r="B35" s="6">
        <v>400</v>
      </c>
      <c r="C35" s="6">
        <v>180</v>
      </c>
      <c r="D35" s="18">
        <v>0.005</v>
      </c>
      <c r="E35" s="6">
        <v>30000</v>
      </c>
    </row>
    <row r="36" ht="25" customHeight="1" spans="1:5" x14ac:dyDescent="0.25">
      <c r="A36" s="12" t="s">
        <v>37</v>
      </c>
      <c r="B36" s="6">
        <v>400</v>
      </c>
      <c r="C36" s="6">
        <v>180</v>
      </c>
      <c r="D36" s="18">
        <v>0.005</v>
      </c>
      <c r="E36" s="6">
        <v>30000</v>
      </c>
    </row>
    <row r="37" ht="25" customHeight="1" spans="1:5" x14ac:dyDescent="0.25">
      <c r="A37" s="12" t="s">
        <v>38</v>
      </c>
      <c r="B37" s="6">
        <v>400</v>
      </c>
      <c r="C37" s="6">
        <v>200</v>
      </c>
      <c r="D37" s="18">
        <v>0.005</v>
      </c>
      <c r="E37" s="6">
        <v>30000</v>
      </c>
    </row>
    <row r="38" ht="25" customHeight="1" spans="1:5" x14ac:dyDescent="0.25">
      <c r="A38" s="12" t="s">
        <v>39</v>
      </c>
      <c r="B38" s="6">
        <v>400</v>
      </c>
      <c r="C38" s="6">
        <v>200</v>
      </c>
      <c r="D38" s="18">
        <v>0.005</v>
      </c>
      <c r="E38" s="6">
        <v>30000</v>
      </c>
    </row>
    <row r="39" ht="25" customHeight="1" spans="1:5" x14ac:dyDescent="0.25">
      <c r="A39" s="12" t="s">
        <v>40</v>
      </c>
      <c r="B39" s="6">
        <v>400</v>
      </c>
      <c r="C39" s="6">
        <v>250</v>
      </c>
      <c r="D39" s="18">
        <v>0.005</v>
      </c>
      <c r="E39" s="6">
        <v>35000</v>
      </c>
    </row>
    <row r="40" ht="25" customHeight="1" spans="1:5" x14ac:dyDescent="0.25">
      <c r="A40" s="12" t="s">
        <v>41</v>
      </c>
      <c r="B40" s="6">
        <v>400</v>
      </c>
      <c r="C40" s="6">
        <v>250</v>
      </c>
      <c r="D40" s="18">
        <v>0.005</v>
      </c>
      <c r="E40" s="6">
        <v>35000</v>
      </c>
    </row>
    <row r="41" ht="25" customHeight="1" spans="1:5" x14ac:dyDescent="0.25">
      <c r="A41" s="12" t="s">
        <v>42</v>
      </c>
      <c r="B41" s="6">
        <v>400</v>
      </c>
      <c r="C41" s="6">
        <v>250</v>
      </c>
      <c r="D41" s="18">
        <v>0.005</v>
      </c>
      <c r="E41" s="6">
        <v>35000</v>
      </c>
    </row>
    <row r="42" ht="25" customHeight="1" spans="1:5" x14ac:dyDescent="0.25">
      <c r="A42" s="12" t="s">
        <v>43</v>
      </c>
      <c r="B42" s="6">
        <v>400</v>
      </c>
      <c r="C42" s="6">
        <v>280</v>
      </c>
      <c r="D42" s="18">
        <v>0.005</v>
      </c>
      <c r="E42" s="6">
        <v>40000</v>
      </c>
    </row>
    <row r="43" ht="25" customHeight="1" spans="1:5" x14ac:dyDescent="0.25">
      <c r="A43" s="12" t="s">
        <v>44</v>
      </c>
      <c r="B43" s="6">
        <v>400</v>
      </c>
      <c r="C43" s="6">
        <v>280</v>
      </c>
      <c r="D43" s="18">
        <v>0.005</v>
      </c>
      <c r="E43" s="6">
        <v>40000</v>
      </c>
    </row>
    <row r="44" ht="25" customHeight="1" spans="1:5" x14ac:dyDescent="0.25">
      <c r="A44" s="12" t="s">
        <v>45</v>
      </c>
      <c r="B44" s="6">
        <v>400</v>
      </c>
      <c r="C44" s="6">
        <v>280</v>
      </c>
      <c r="D44" s="18">
        <v>0.005</v>
      </c>
      <c r="E44" s="6">
        <v>50000</v>
      </c>
    </row>
    <row r="45" ht="25" customHeight="1" spans="1:5" x14ac:dyDescent="0.25">
      <c r="A45" s="12" t="s">
        <v>46</v>
      </c>
      <c r="B45" s="6">
        <v>400</v>
      </c>
      <c r="C45" s="6">
        <v>280</v>
      </c>
      <c r="D45" s="18">
        <v>0.005</v>
      </c>
      <c r="E45" s="6">
        <v>50000</v>
      </c>
    </row>
    <row r="46" ht="25" customHeight="1" spans="1:5" x14ac:dyDescent="0.25">
      <c r="A46" s="12" t="s">
        <v>47</v>
      </c>
      <c r="B46" s="6">
        <v>400</v>
      </c>
      <c r="C46" s="6">
        <v>280</v>
      </c>
      <c r="D46" s="18">
        <v>0.005</v>
      </c>
      <c r="E46" s="6">
        <v>55000</v>
      </c>
    </row>
    <row r="47" ht="25" customHeight="1" spans="1:5" x14ac:dyDescent="0.25">
      <c r="A47" s="12" t="s">
        <v>48</v>
      </c>
      <c r="B47" s="6">
        <v>400</v>
      </c>
      <c r="C47" s="6">
        <v>280</v>
      </c>
      <c r="D47" s="18">
        <v>0.005</v>
      </c>
      <c r="E47" s="6">
        <v>60000</v>
      </c>
    </row>
    <row r="48" ht="25" customHeight="1" spans="1:5" x14ac:dyDescent="0.25">
      <c r="A48" s="12" t="s">
        <v>49</v>
      </c>
      <c r="B48" s="6">
        <v>400</v>
      </c>
      <c r="C48" s="6">
        <v>280</v>
      </c>
      <c r="D48" s="18">
        <v>0.005</v>
      </c>
      <c r="E48" s="6">
        <v>60000</v>
      </c>
    </row>
    <row r="49" ht="25" customHeight="1" spans="1:5" x14ac:dyDescent="0.25">
      <c r="A49" s="12" t="s">
        <v>50</v>
      </c>
      <c r="B49" s="6">
        <v>400</v>
      </c>
      <c r="C49" s="6">
        <v>280</v>
      </c>
      <c r="D49" s="18">
        <v>0.005</v>
      </c>
      <c r="E49" s="6">
        <v>60000</v>
      </c>
    </row>
    <row r="50" ht="25" customHeight="1" spans="1:5" x14ac:dyDescent="0.25">
      <c r="A50" s="12" t="s">
        <v>51</v>
      </c>
      <c r="B50" s="6">
        <v>400</v>
      </c>
      <c r="C50" s="6">
        <v>280</v>
      </c>
      <c r="D50" s="18">
        <v>0.005</v>
      </c>
      <c r="E50" s="6">
        <v>80000</v>
      </c>
    </row>
    <row r="51" ht="25" customHeight="1" spans="1:5" x14ac:dyDescent="0.25">
      <c r="A51" s="12" t="s">
        <v>52</v>
      </c>
      <c r="B51" s="6">
        <v>400</v>
      </c>
      <c r="C51" s="6">
        <v>280</v>
      </c>
      <c r="D51" s="18">
        <v>0.005</v>
      </c>
      <c r="E51" s="6">
        <v>85000</v>
      </c>
    </row>
    <row r="52" ht="25" customHeight="1" spans="1:5" x14ac:dyDescent="0.25">
      <c r="A52" s="12" t="s">
        <v>53</v>
      </c>
      <c r="B52" s="6">
        <v>400</v>
      </c>
      <c r="C52" s="6">
        <v>280</v>
      </c>
      <c r="D52" s="18">
        <v>0.005</v>
      </c>
      <c r="E52" s="6">
        <v>85000</v>
      </c>
    </row>
    <row r="53" ht="25" customHeight="1" spans="1:5" x14ac:dyDescent="0.25">
      <c r="A53" s="12" t="s">
        <v>54</v>
      </c>
      <c r="B53" s="6">
        <v>400</v>
      </c>
      <c r="C53" s="6">
        <v>280</v>
      </c>
      <c r="D53" s="18">
        <v>0.005</v>
      </c>
      <c r="E53" s="6">
        <v>90000</v>
      </c>
    </row>
    <row r="54" ht="25" customHeight="1" spans="1:5" x14ac:dyDescent="0.25">
      <c r="A54" s="12" t="s">
        <v>55</v>
      </c>
      <c r="B54" s="6">
        <v>400</v>
      </c>
      <c r="C54" s="6">
        <v>280</v>
      </c>
      <c r="D54" s="18">
        <v>0.005</v>
      </c>
      <c r="E54" s="6">
        <v>90000</v>
      </c>
    </row>
    <row r="55" ht="25" customHeight="1" spans="1:5" x14ac:dyDescent="0.25">
      <c r="A55" s="12" t="s">
        <v>56</v>
      </c>
      <c r="B55" s="6">
        <v>400</v>
      </c>
      <c r="C55" s="6">
        <v>280</v>
      </c>
      <c r="D55" s="18">
        <v>0.005</v>
      </c>
      <c r="E55" s="6">
        <v>90000</v>
      </c>
    </row>
    <row r="56" ht="25" customHeight="1" spans="1:1" x14ac:dyDescent="0.25"/>
    <row r="57" ht="25" customHeight="1" spans="1:1" x14ac:dyDescent="0.25"/>
    <row r="58" ht="25" customHeight="1" spans="1:1" x14ac:dyDescent="0.25"/>
    <row r="59" ht="29" customHeight="1" spans="1:42" x14ac:dyDescent="0.25">
      <c r="A59" s="7" t="s">
        <v>86</v>
      </c>
      <c r="B59" s="14" t="s">
        <v>87</v>
      </c>
      <c r="C59" s="14"/>
      <c r="D59" s="14"/>
      <c r="E59" s="14"/>
      <c r="F59" s="14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</row>
    <row r="60" ht="29" customHeight="1" spans="1:6" x14ac:dyDescent="0.25">
      <c r="A60" s="3" t="s">
        <v>88</v>
      </c>
      <c r="B60" s="16" t="s">
        <v>89</v>
      </c>
      <c r="C60" s="16" t="s">
        <v>90</v>
      </c>
      <c r="D60" s="16" t="s">
        <v>91</v>
      </c>
      <c r="E60" s="16" t="s">
        <v>92</v>
      </c>
      <c r="F60" s="16" t="s">
        <v>65</v>
      </c>
    </row>
    <row r="61" ht="25" customHeight="1" spans="1:6" x14ac:dyDescent="0.25">
      <c r="A61" s="12" t="s">
        <v>93</v>
      </c>
      <c r="B61" s="13" t="s">
        <v>94</v>
      </c>
      <c r="C61" s="13" t="s">
        <v>95</v>
      </c>
      <c r="D61" s="13" t="s">
        <v>96</v>
      </c>
      <c r="E61" s="6">
        <v>9333</v>
      </c>
      <c r="F61" s="13" t="s">
        <v>97</v>
      </c>
    </row>
    <row r="62" ht="25" customHeight="1" spans="1:6" x14ac:dyDescent="0.25">
      <c r="A62" s="12" t="s">
        <v>98</v>
      </c>
      <c r="B62" s="13" t="s">
        <v>94</v>
      </c>
      <c r="C62" s="13" t="s">
        <v>99</v>
      </c>
      <c r="D62" s="13" t="s">
        <v>96</v>
      </c>
      <c r="E62" s="6">
        <v>2000</v>
      </c>
      <c r="F62" s="13" t="s">
        <v>97</v>
      </c>
    </row>
    <row r="63" ht="25" customHeight="1" spans="1:6" x14ac:dyDescent="0.25">
      <c r="A63" s="12" t="s">
        <v>100</v>
      </c>
      <c r="B63" s="13" t="s">
        <v>94</v>
      </c>
      <c r="C63" s="13" t="s">
        <v>101</v>
      </c>
      <c r="D63" s="13" t="s">
        <v>96</v>
      </c>
      <c r="E63" s="6">
        <v>2000</v>
      </c>
      <c r="F63" s="13" t="s">
        <v>97</v>
      </c>
    </row>
    <row r="64" ht="25" customHeight="1" spans="1:6" x14ac:dyDescent="0.25">
      <c r="A64" s="12" t="s">
        <v>102</v>
      </c>
      <c r="B64" s="13" t="s">
        <v>103</v>
      </c>
      <c r="C64" s="13" t="s">
        <v>104</v>
      </c>
      <c r="D64" s="13" t="s">
        <v>105</v>
      </c>
      <c r="E64" s="6">
        <v>0</v>
      </c>
      <c r="F64" s="13" t="s">
        <v>106</v>
      </c>
    </row>
    <row r="65" ht="25" customHeight="1" spans="1:6" x14ac:dyDescent="0.25">
      <c r="A65" s="12" t="s">
        <v>107</v>
      </c>
      <c r="B65" s="13" t="s">
        <v>103</v>
      </c>
      <c r="C65" s="13" t="s">
        <v>108</v>
      </c>
      <c r="D65" s="13" t="s">
        <v>96</v>
      </c>
      <c r="E65" s="6">
        <v>1500</v>
      </c>
      <c r="F65" s="13" t="s">
        <v>97</v>
      </c>
    </row>
    <row r="66" ht="25" customHeight="1" spans="1:6" x14ac:dyDescent="0.25">
      <c r="A66" s="12" t="s">
        <v>109</v>
      </c>
      <c r="B66" s="13" t="s">
        <v>103</v>
      </c>
      <c r="C66" s="13" t="s">
        <v>110</v>
      </c>
      <c r="D66" s="13" t="s">
        <v>96</v>
      </c>
      <c r="E66" s="6">
        <v>1500</v>
      </c>
      <c r="F66" s="13" t="s">
        <v>97</v>
      </c>
    </row>
    <row r="67" ht="25" customHeight="1" spans="1:6" x14ac:dyDescent="0.25">
      <c r="A67" s="12" t="s">
        <v>111</v>
      </c>
      <c r="B67" s="13" t="s">
        <v>103</v>
      </c>
      <c r="C67" s="13" t="s">
        <v>112</v>
      </c>
      <c r="D67" s="13" t="s">
        <v>113</v>
      </c>
      <c r="E67" s="6">
        <v>70</v>
      </c>
      <c r="F67" s="13" t="s">
        <v>114</v>
      </c>
    </row>
    <row r="68" ht="25" customHeight="1" spans="1:6" x14ac:dyDescent="0.25">
      <c r="A68" s="12" t="s">
        <v>115</v>
      </c>
      <c r="B68" s="13" t="s">
        <v>116</v>
      </c>
      <c r="C68" s="13" t="s">
        <v>117</v>
      </c>
      <c r="D68" s="13" t="s">
        <v>96</v>
      </c>
      <c r="E68" s="6">
        <v>4000</v>
      </c>
      <c r="F68" s="13" t="s">
        <v>97</v>
      </c>
    </row>
    <row r="69" ht="25" customHeight="1" spans="1:6" x14ac:dyDescent="0.25">
      <c r="A69" s="12" t="s">
        <v>118</v>
      </c>
      <c r="B69" s="13" t="s">
        <v>116</v>
      </c>
      <c r="C69" s="13" t="s">
        <v>119</v>
      </c>
      <c r="D69" s="13" t="s">
        <v>96</v>
      </c>
      <c r="E69" s="6">
        <v>3333</v>
      </c>
      <c r="F69" s="13" t="s">
        <v>97</v>
      </c>
    </row>
    <row r="70" ht="25" customHeight="1" spans="1:6" x14ac:dyDescent="0.25">
      <c r="A70" s="12" t="s">
        <v>120</v>
      </c>
      <c r="B70" s="13" t="s">
        <v>121</v>
      </c>
      <c r="C70" s="13" t="s">
        <v>122</v>
      </c>
      <c r="D70" s="13" t="s">
        <v>96</v>
      </c>
      <c r="E70" s="6">
        <v>5000</v>
      </c>
      <c r="F70" s="13" t="s">
        <v>97</v>
      </c>
    </row>
    <row r="71" ht="25" customHeight="1" spans="1:6" x14ac:dyDescent="0.25">
      <c r="A71" s="12" t="s">
        <v>123</v>
      </c>
      <c r="B71" s="13" t="s">
        <v>121</v>
      </c>
      <c r="C71" s="13" t="s">
        <v>124</v>
      </c>
      <c r="D71" s="13" t="s">
        <v>96</v>
      </c>
      <c r="E71" s="6">
        <v>5000</v>
      </c>
      <c r="F71" s="13" t="s">
        <v>97</v>
      </c>
    </row>
    <row r="72" ht="25" customHeight="1" spans="1:6" x14ac:dyDescent="0.25">
      <c r="A72" s="12" t="s">
        <v>125</v>
      </c>
      <c r="B72" s="13" t="s">
        <v>126</v>
      </c>
      <c r="C72" s="13" t="s">
        <v>127</v>
      </c>
      <c r="D72" s="13" t="s">
        <v>96</v>
      </c>
      <c r="E72" s="6">
        <v>1500</v>
      </c>
      <c r="F72" s="13" t="s">
        <v>97</v>
      </c>
    </row>
    <row r="73" ht="25" customHeight="1" spans="1:6" x14ac:dyDescent="0.25">
      <c r="A73" s="12" t="s">
        <v>128</v>
      </c>
      <c r="B73" s="13" t="s">
        <v>126</v>
      </c>
      <c r="C73" s="13" t="s">
        <v>129</v>
      </c>
      <c r="D73" s="13" t="s">
        <v>130</v>
      </c>
      <c r="E73" s="18">
        <v>0.1</v>
      </c>
      <c r="F73" s="13" t="s">
        <v>131</v>
      </c>
    </row>
    <row r="74" ht="25" customHeight="1" spans="1:6" x14ac:dyDescent="0.25">
      <c r="A74" s="12" t="s">
        <v>132</v>
      </c>
      <c r="B74" s="13" t="s">
        <v>126</v>
      </c>
      <c r="C74" s="13" t="s">
        <v>133</v>
      </c>
      <c r="D74" s="13" t="s">
        <v>96</v>
      </c>
      <c r="E74" s="6">
        <v>1000</v>
      </c>
      <c r="F74" s="13" t="s">
        <v>97</v>
      </c>
    </row>
    <row r="75" ht="25" customHeight="1" spans="1:6" x14ac:dyDescent="0.25">
      <c r="A75" s="12" t="s">
        <v>134</v>
      </c>
      <c r="B75" s="13" t="s">
        <v>116</v>
      </c>
      <c r="C75" s="13" t="s">
        <v>135</v>
      </c>
      <c r="D75" s="13" t="s">
        <v>96</v>
      </c>
      <c r="E75" s="6">
        <v>3500</v>
      </c>
      <c r="F75" s="13" t="s">
        <v>97</v>
      </c>
    </row>
    <row r="76" ht="25" customHeight="1" spans="1:6" x14ac:dyDescent="0.25">
      <c r="A76" s="12" t="s">
        <v>136</v>
      </c>
      <c r="B76" s="13" t="s">
        <v>103</v>
      </c>
      <c r="C76" s="13" t="s">
        <v>137</v>
      </c>
      <c r="D76" s="13" t="s">
        <v>96</v>
      </c>
      <c r="E76" s="6">
        <v>4000</v>
      </c>
      <c r="F76" s="13" t="s">
        <v>97</v>
      </c>
    </row>
    <row r="77" ht="25" customHeight="1" spans="1:1" x14ac:dyDescent="0.25"/>
    <row r="78" ht="25" customHeight="1" spans="1:1" x14ac:dyDescent="0.25"/>
    <row r="79" ht="25" customHeight="1" spans="1:1" x14ac:dyDescent="0.25"/>
    <row r="80" ht="29" customHeight="1" spans="1:42" x14ac:dyDescent="0.25">
      <c r="A80" s="7" t="s">
        <v>138</v>
      </c>
      <c r="B80" s="14" t="s">
        <v>139</v>
      </c>
      <c r="C80" s="14"/>
      <c r="D80" s="14"/>
      <c r="E80" s="14"/>
      <c r="F80" s="14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</row>
    <row r="81" ht="29" customHeight="1" spans="1:38" x14ac:dyDescent="0.25">
      <c r="A81" s="3" t="s">
        <v>88</v>
      </c>
      <c r="B81" s="16" t="s">
        <v>90</v>
      </c>
      <c r="C81" s="16" t="s">
        <v>21</v>
      </c>
      <c r="D81" s="16" t="s">
        <v>22</v>
      </c>
      <c r="E81" s="16" t="s">
        <v>23</v>
      </c>
      <c r="F81" s="16" t="s">
        <v>24</v>
      </c>
      <c r="G81" s="19" t="s">
        <v>25</v>
      </c>
      <c r="H81" s="19" t="s">
        <v>26</v>
      </c>
      <c r="I81" s="19" t="s">
        <v>27</v>
      </c>
      <c r="J81" s="19" t="s">
        <v>28</v>
      </c>
      <c r="K81" s="19" t="s">
        <v>29</v>
      </c>
      <c r="L81" s="19" t="s">
        <v>30</v>
      </c>
      <c r="M81" s="19" t="s">
        <v>31</v>
      </c>
      <c r="N81" s="19" t="s">
        <v>32</v>
      </c>
      <c r="O81" s="19" t="s">
        <v>33</v>
      </c>
      <c r="P81" s="19" t="s">
        <v>34</v>
      </c>
      <c r="Q81" s="19" t="s">
        <v>35</v>
      </c>
      <c r="R81" s="19" t="s">
        <v>36</v>
      </c>
      <c r="S81" s="19" t="s">
        <v>37</v>
      </c>
      <c r="T81" s="19" t="s">
        <v>38</v>
      </c>
      <c r="U81" s="19" t="s">
        <v>39</v>
      </c>
      <c r="V81" s="19" t="s">
        <v>40</v>
      </c>
      <c r="W81" s="19" t="s">
        <v>41</v>
      </c>
      <c r="X81" s="19" t="s">
        <v>42</v>
      </c>
      <c r="Y81" s="19" t="s">
        <v>43</v>
      </c>
      <c r="Z81" s="19" t="s">
        <v>44</v>
      </c>
      <c r="AA81" s="19" t="s">
        <v>45</v>
      </c>
      <c r="AB81" s="19" t="s">
        <v>46</v>
      </c>
      <c r="AC81" s="19" t="s">
        <v>47</v>
      </c>
      <c r="AD81" s="19" t="s">
        <v>48</v>
      </c>
      <c r="AE81" s="19" t="s">
        <v>49</v>
      </c>
      <c r="AF81" s="19" t="s">
        <v>50</v>
      </c>
      <c r="AG81" s="19" t="s">
        <v>51</v>
      </c>
      <c r="AH81" s="19" t="s">
        <v>52</v>
      </c>
      <c r="AI81" s="19" t="s">
        <v>53</v>
      </c>
      <c r="AJ81" s="19" t="s">
        <v>54</v>
      </c>
      <c r="AK81" s="19" t="s">
        <v>55</v>
      </c>
      <c r="AL81" s="19" t="s">
        <v>56</v>
      </c>
    </row>
    <row r="82" ht="25" customHeight="1" spans="1:38" x14ac:dyDescent="0.25">
      <c r="A82" s="12" t="s">
        <v>93</v>
      </c>
      <c r="B82" s="13" t="s">
        <v>95</v>
      </c>
      <c r="C82" s="6">
        <v>9000</v>
      </c>
      <c r="D82" s="6">
        <v>9000</v>
      </c>
      <c r="E82" s="6">
        <v>9000</v>
      </c>
      <c r="F82" s="6">
        <v>9000</v>
      </c>
      <c r="G82" s="6">
        <v>9000</v>
      </c>
      <c r="H82" s="6">
        <v>9000</v>
      </c>
      <c r="I82" s="6">
        <v>9333</v>
      </c>
      <c r="J82" s="6">
        <v>9333</v>
      </c>
      <c r="K82" s="6">
        <v>9333</v>
      </c>
      <c r="L82" s="6">
        <v>9333</v>
      </c>
      <c r="M82" s="6">
        <v>9333</v>
      </c>
      <c r="N82" s="6">
        <v>9333</v>
      </c>
      <c r="O82" s="6">
        <v>9333</v>
      </c>
      <c r="P82" s="6">
        <v>9333</v>
      </c>
      <c r="Q82" s="6">
        <v>9333</v>
      </c>
      <c r="R82" s="6">
        <v>9333</v>
      </c>
      <c r="S82" s="6">
        <v>9333</v>
      </c>
      <c r="T82" s="6">
        <v>9333</v>
      </c>
      <c r="U82" s="6">
        <v>12000</v>
      </c>
      <c r="V82" s="6">
        <v>12000</v>
      </c>
      <c r="W82" s="6">
        <v>12000</v>
      </c>
      <c r="X82" s="6">
        <v>12000</v>
      </c>
      <c r="Y82" s="6">
        <v>12000</v>
      </c>
      <c r="Z82" s="6">
        <v>12000</v>
      </c>
      <c r="AA82" s="6">
        <v>12000</v>
      </c>
      <c r="AB82" s="6">
        <v>12000</v>
      </c>
      <c r="AC82" s="6">
        <v>12000</v>
      </c>
      <c r="AD82" s="6">
        <v>12000</v>
      </c>
      <c r="AE82" s="6">
        <v>12000</v>
      </c>
      <c r="AF82" s="6">
        <v>12000</v>
      </c>
      <c r="AG82" s="6">
        <v>14000</v>
      </c>
      <c r="AH82" s="6">
        <v>14000</v>
      </c>
      <c r="AI82" s="6">
        <v>14000</v>
      </c>
      <c r="AJ82" s="6">
        <v>14000</v>
      </c>
      <c r="AK82" s="6">
        <v>14000</v>
      </c>
      <c r="AL82" s="6">
        <v>14000</v>
      </c>
    </row>
    <row r="83" ht="25" customHeight="1" spans="1:38" x14ac:dyDescent="0.25">
      <c r="A83" s="12" t="s">
        <v>98</v>
      </c>
      <c r="B83" s="13" t="s">
        <v>99</v>
      </c>
      <c r="C83" s="6">
        <v>2000</v>
      </c>
      <c r="D83" s="6">
        <v>2000</v>
      </c>
      <c r="E83" s="6">
        <v>2000</v>
      </c>
      <c r="F83" s="6">
        <v>2000</v>
      </c>
      <c r="G83" s="6">
        <v>2000</v>
      </c>
      <c r="H83" s="6">
        <v>2000</v>
      </c>
      <c r="I83" s="6">
        <v>2000</v>
      </c>
      <c r="J83" s="6">
        <v>2000</v>
      </c>
      <c r="K83" s="6">
        <v>2000</v>
      </c>
      <c r="L83" s="6">
        <v>2000</v>
      </c>
      <c r="M83" s="6">
        <v>2000</v>
      </c>
      <c r="N83" s="6">
        <v>2000</v>
      </c>
      <c r="O83" s="6">
        <v>2000</v>
      </c>
      <c r="P83" s="6">
        <v>2000</v>
      </c>
      <c r="Q83" s="6">
        <v>2000</v>
      </c>
      <c r="R83" s="6">
        <v>2000</v>
      </c>
      <c r="S83" s="6">
        <v>2000</v>
      </c>
      <c r="T83" s="6">
        <v>2000</v>
      </c>
      <c r="U83" s="6">
        <v>2000</v>
      </c>
      <c r="V83" s="6">
        <v>2000</v>
      </c>
      <c r="W83" s="6">
        <v>2000</v>
      </c>
      <c r="X83" s="6">
        <v>2000</v>
      </c>
      <c r="Y83" s="6">
        <v>2000</v>
      </c>
      <c r="Z83" s="6">
        <v>2000</v>
      </c>
      <c r="AA83" s="6">
        <v>2000</v>
      </c>
      <c r="AB83" s="6">
        <v>2000</v>
      </c>
      <c r="AC83" s="6">
        <v>2000</v>
      </c>
      <c r="AD83" s="6">
        <v>2000</v>
      </c>
      <c r="AE83" s="6">
        <v>2000</v>
      </c>
      <c r="AF83" s="6">
        <v>2000</v>
      </c>
      <c r="AG83" s="6">
        <v>2000</v>
      </c>
      <c r="AH83" s="6">
        <v>2000</v>
      </c>
      <c r="AI83" s="6">
        <v>2000</v>
      </c>
      <c r="AJ83" s="6">
        <v>2000</v>
      </c>
      <c r="AK83" s="6">
        <v>2000</v>
      </c>
      <c r="AL83" s="6">
        <v>2000</v>
      </c>
    </row>
    <row r="84" ht="25" customHeight="1" spans="1:38" x14ac:dyDescent="0.25">
      <c r="A84" s="12" t="s">
        <v>100</v>
      </c>
      <c r="B84" s="13" t="s">
        <v>101</v>
      </c>
      <c r="C84" s="6">
        <v>2000</v>
      </c>
      <c r="D84" s="6">
        <v>2000</v>
      </c>
      <c r="E84" s="6">
        <v>2000</v>
      </c>
      <c r="F84" s="6">
        <v>2000</v>
      </c>
      <c r="G84" s="6">
        <v>2000</v>
      </c>
      <c r="H84" s="6">
        <v>2000</v>
      </c>
      <c r="I84" s="6">
        <v>2000</v>
      </c>
      <c r="J84" s="6">
        <v>2000</v>
      </c>
      <c r="K84" s="6">
        <v>2000</v>
      </c>
      <c r="L84" s="6">
        <v>2000</v>
      </c>
      <c r="M84" s="6">
        <v>2000</v>
      </c>
      <c r="N84" s="6">
        <v>2000</v>
      </c>
      <c r="O84" s="6">
        <v>2000</v>
      </c>
      <c r="P84" s="6">
        <v>2000</v>
      </c>
      <c r="Q84" s="6">
        <v>2000</v>
      </c>
      <c r="R84" s="6">
        <v>2000</v>
      </c>
      <c r="S84" s="6">
        <v>2000</v>
      </c>
      <c r="T84" s="6">
        <v>2000</v>
      </c>
      <c r="U84" s="6">
        <v>2000</v>
      </c>
      <c r="V84" s="6">
        <v>2000</v>
      </c>
      <c r="W84" s="6">
        <v>2000</v>
      </c>
      <c r="X84" s="6">
        <v>2000</v>
      </c>
      <c r="Y84" s="6">
        <v>2000</v>
      </c>
      <c r="Z84" s="6">
        <v>2000</v>
      </c>
      <c r="AA84" s="6">
        <v>2000</v>
      </c>
      <c r="AB84" s="6">
        <v>2000</v>
      </c>
      <c r="AC84" s="6">
        <v>2000</v>
      </c>
      <c r="AD84" s="6">
        <v>2000</v>
      </c>
      <c r="AE84" s="6">
        <v>2000</v>
      </c>
      <c r="AF84" s="6">
        <v>2000</v>
      </c>
      <c r="AG84" s="6">
        <v>2000</v>
      </c>
      <c r="AH84" s="6">
        <v>2000</v>
      </c>
      <c r="AI84" s="6">
        <v>2000</v>
      </c>
      <c r="AJ84" s="6">
        <v>2000</v>
      </c>
      <c r="AK84" s="6">
        <v>2000</v>
      </c>
      <c r="AL84" s="6">
        <v>2000</v>
      </c>
    </row>
    <row r="85" ht="25" customHeight="1" spans="1:38" x14ac:dyDescent="0.25">
      <c r="A85" s="12" t="s">
        <v>102</v>
      </c>
      <c r="B85" s="13" t="s">
        <v>104</v>
      </c>
      <c r="C85" s="6">
        <f>E20</f>
        <v>1500</v>
      </c>
      <c r="D85" s="6">
        <f>E21</f>
        <v>1500</v>
      </c>
      <c r="E85" s="6">
        <f>E22</f>
        <v>3000</v>
      </c>
      <c r="F85" s="6">
        <f>E23</f>
        <v>3000</v>
      </c>
      <c r="G85" s="6">
        <f>E24</f>
        <v>4500</v>
      </c>
      <c r="H85" s="6">
        <f>E25</f>
        <v>5000</v>
      </c>
      <c r="I85" s="6">
        <f>E26</f>
        <v>7000</v>
      </c>
      <c r="J85" s="6">
        <f>E27</f>
        <v>12000</v>
      </c>
      <c r="K85" s="6">
        <f>E28</f>
        <v>20000</v>
      </c>
      <c r="L85" s="6">
        <f>E29</f>
        <v>20000</v>
      </c>
      <c r="M85" s="6">
        <f>E30</f>
        <v>20000</v>
      </c>
      <c r="N85" s="6">
        <f>E31</f>
        <v>20000</v>
      </c>
      <c r="O85" s="6">
        <f>E32</f>
        <v>25000</v>
      </c>
      <c r="P85" s="6">
        <f>E33</f>
        <v>25000</v>
      </c>
      <c r="Q85" s="6">
        <f>E34</f>
        <v>25000</v>
      </c>
      <c r="R85" s="6">
        <f>E35</f>
        <v>30000</v>
      </c>
      <c r="S85" s="6">
        <f>E36</f>
        <v>30000</v>
      </c>
      <c r="T85" s="6">
        <f>E37</f>
        <v>30000</v>
      </c>
      <c r="U85" s="6">
        <f>E38</f>
        <v>30000</v>
      </c>
      <c r="V85" s="6">
        <f>E39</f>
        <v>35000</v>
      </c>
      <c r="W85" s="6">
        <f>E40</f>
        <v>35000</v>
      </c>
      <c r="X85" s="6">
        <f>E41</f>
        <v>35000</v>
      </c>
      <c r="Y85" s="6">
        <f>E42</f>
        <v>40000</v>
      </c>
      <c r="Z85" s="6">
        <f>E43</f>
        <v>40000</v>
      </c>
      <c r="AA85" s="6">
        <f>E44</f>
        <v>50000</v>
      </c>
      <c r="AB85" s="6">
        <f>E45</f>
        <v>50000</v>
      </c>
      <c r="AC85" s="6">
        <f>E46</f>
        <v>55000</v>
      </c>
      <c r="AD85" s="6">
        <f>E47</f>
        <v>60000</v>
      </c>
      <c r="AE85" s="6">
        <f>E48</f>
        <v>60000</v>
      </c>
      <c r="AF85" s="6">
        <f>E49</f>
        <v>60000</v>
      </c>
      <c r="AG85" s="6">
        <f>E50</f>
        <v>80000</v>
      </c>
      <c r="AH85" s="6">
        <f>E51</f>
        <v>85000</v>
      </c>
      <c r="AI85" s="6">
        <f>E52</f>
        <v>85000</v>
      </c>
      <c r="AJ85" s="6">
        <f>E53</f>
        <v>90000</v>
      </c>
      <c r="AK85" s="6">
        <f>E54</f>
        <v>90000</v>
      </c>
      <c r="AL85" s="6">
        <f>E55</f>
        <v>90000</v>
      </c>
    </row>
    <row r="86" ht="25" customHeight="1" spans="1:38" x14ac:dyDescent="0.25">
      <c r="A86" s="12" t="s">
        <v>107</v>
      </c>
      <c r="B86" s="13" t="s">
        <v>108</v>
      </c>
      <c r="C86" s="6">
        <v>1500</v>
      </c>
      <c r="D86" s="6">
        <v>1500</v>
      </c>
      <c r="E86" s="6">
        <v>1500</v>
      </c>
      <c r="F86" s="6">
        <v>1500</v>
      </c>
      <c r="G86" s="6">
        <v>1500</v>
      </c>
      <c r="H86" s="6">
        <v>1500</v>
      </c>
      <c r="I86" s="6">
        <v>1500</v>
      </c>
      <c r="J86" s="6">
        <v>1500</v>
      </c>
      <c r="K86" s="6">
        <v>1500</v>
      </c>
      <c r="L86" s="6">
        <v>1500</v>
      </c>
      <c r="M86" s="6">
        <v>1500</v>
      </c>
      <c r="N86" s="6">
        <v>1500</v>
      </c>
      <c r="O86" s="6">
        <v>1500</v>
      </c>
      <c r="P86" s="6">
        <v>1500</v>
      </c>
      <c r="Q86" s="6">
        <v>1500</v>
      </c>
      <c r="R86" s="6">
        <v>1500</v>
      </c>
      <c r="S86" s="6">
        <v>1500</v>
      </c>
      <c r="T86" s="6">
        <v>1500</v>
      </c>
      <c r="U86" s="6">
        <v>1500</v>
      </c>
      <c r="V86" s="6">
        <v>1500</v>
      </c>
      <c r="W86" s="6">
        <v>1500</v>
      </c>
      <c r="X86" s="6">
        <v>1500</v>
      </c>
      <c r="Y86" s="6">
        <v>1500</v>
      </c>
      <c r="Z86" s="6">
        <v>1500</v>
      </c>
      <c r="AA86" s="6">
        <v>2500</v>
      </c>
      <c r="AB86" s="6">
        <v>2500</v>
      </c>
      <c r="AC86" s="6">
        <v>2500</v>
      </c>
      <c r="AD86" s="6">
        <v>2500</v>
      </c>
      <c r="AE86" s="6">
        <v>2500</v>
      </c>
      <c r="AF86" s="6">
        <v>2500</v>
      </c>
      <c r="AG86" s="6">
        <v>2500</v>
      </c>
      <c r="AH86" s="6">
        <v>2500</v>
      </c>
      <c r="AI86" s="6">
        <v>2500</v>
      </c>
      <c r="AJ86" s="6">
        <v>2500</v>
      </c>
      <c r="AK86" s="6">
        <v>2500</v>
      </c>
      <c r="AL86" s="6">
        <v>2500</v>
      </c>
    </row>
    <row r="87" ht="25" customHeight="1" spans="1:38" x14ac:dyDescent="0.25">
      <c r="A87" s="12" t="s">
        <v>109</v>
      </c>
      <c r="B87" s="13" t="s">
        <v>110</v>
      </c>
      <c r="C87" s="6">
        <v>1500</v>
      </c>
      <c r="D87" s="6">
        <v>1500</v>
      </c>
      <c r="E87" s="6">
        <v>1500</v>
      </c>
      <c r="F87" s="6">
        <v>1500</v>
      </c>
      <c r="G87" s="6">
        <v>1500</v>
      </c>
      <c r="H87" s="6">
        <v>1500</v>
      </c>
      <c r="I87" s="6">
        <v>1500</v>
      </c>
      <c r="J87" s="6">
        <v>1500</v>
      </c>
      <c r="K87" s="6">
        <v>1500</v>
      </c>
      <c r="L87" s="6">
        <v>1500</v>
      </c>
      <c r="M87" s="6">
        <v>1500</v>
      </c>
      <c r="N87" s="6">
        <v>1500</v>
      </c>
      <c r="O87" s="6">
        <v>1500</v>
      </c>
      <c r="P87" s="6">
        <v>1500</v>
      </c>
      <c r="Q87" s="6">
        <v>1500</v>
      </c>
      <c r="R87" s="6">
        <v>1500</v>
      </c>
      <c r="S87" s="6">
        <v>1500</v>
      </c>
      <c r="T87" s="6">
        <v>1500</v>
      </c>
      <c r="U87" s="6">
        <v>1500</v>
      </c>
      <c r="V87" s="6">
        <v>1500</v>
      </c>
      <c r="W87" s="6">
        <v>1500</v>
      </c>
      <c r="X87" s="6">
        <v>1500</v>
      </c>
      <c r="Y87" s="6">
        <v>1500</v>
      </c>
      <c r="Z87" s="6">
        <v>1500</v>
      </c>
      <c r="AA87" s="6">
        <v>1500</v>
      </c>
      <c r="AB87" s="6">
        <v>1500</v>
      </c>
      <c r="AC87" s="6">
        <v>1500</v>
      </c>
      <c r="AD87" s="6">
        <v>1500</v>
      </c>
      <c r="AE87" s="6">
        <v>1500</v>
      </c>
      <c r="AF87" s="6">
        <v>1500</v>
      </c>
      <c r="AG87" s="6">
        <v>1500</v>
      </c>
      <c r="AH87" s="6">
        <v>1500</v>
      </c>
      <c r="AI87" s="6">
        <v>1500</v>
      </c>
      <c r="AJ87" s="6">
        <v>1500</v>
      </c>
      <c r="AK87" s="6">
        <v>1500</v>
      </c>
      <c r="AL87" s="6">
        <v>1500</v>
      </c>
    </row>
    <row r="88" ht="25" customHeight="1" spans="1:38" x14ac:dyDescent="0.25">
      <c r="A88" s="12" t="s">
        <v>111</v>
      </c>
      <c r="B88" s="13" t="s">
        <v>112</v>
      </c>
      <c r="C88" s="6">
        <v>70</v>
      </c>
      <c r="D88" s="6">
        <v>70</v>
      </c>
      <c r="E88" s="6">
        <v>70</v>
      </c>
      <c r="F88" s="6">
        <v>70</v>
      </c>
      <c r="G88" s="6">
        <v>70</v>
      </c>
      <c r="H88" s="6">
        <v>70</v>
      </c>
      <c r="I88" s="6">
        <v>70</v>
      </c>
      <c r="J88" s="6">
        <v>70</v>
      </c>
      <c r="K88" s="6">
        <v>70</v>
      </c>
      <c r="L88" s="6">
        <v>70</v>
      </c>
      <c r="M88" s="6">
        <v>70</v>
      </c>
      <c r="N88" s="6">
        <v>70</v>
      </c>
      <c r="O88" s="6">
        <v>70</v>
      </c>
      <c r="P88" s="6">
        <v>70</v>
      </c>
      <c r="Q88" s="6">
        <v>70</v>
      </c>
      <c r="R88" s="6">
        <v>70</v>
      </c>
      <c r="S88" s="6">
        <v>70</v>
      </c>
      <c r="T88" s="6">
        <v>70</v>
      </c>
      <c r="U88" s="6">
        <v>70</v>
      </c>
      <c r="V88" s="6">
        <v>70</v>
      </c>
      <c r="W88" s="6">
        <v>70</v>
      </c>
      <c r="X88" s="6">
        <v>70</v>
      </c>
      <c r="Y88" s="6">
        <v>70</v>
      </c>
      <c r="Z88" s="6">
        <v>70</v>
      </c>
      <c r="AA88" s="6">
        <v>70</v>
      </c>
      <c r="AB88" s="6">
        <v>70</v>
      </c>
      <c r="AC88" s="6">
        <v>70</v>
      </c>
      <c r="AD88" s="6">
        <v>70</v>
      </c>
      <c r="AE88" s="6">
        <v>70</v>
      </c>
      <c r="AF88" s="6">
        <v>70</v>
      </c>
      <c r="AG88" s="6">
        <v>70</v>
      </c>
      <c r="AH88" s="6">
        <v>70</v>
      </c>
      <c r="AI88" s="6">
        <v>70</v>
      </c>
      <c r="AJ88" s="6">
        <v>70</v>
      </c>
      <c r="AK88" s="6">
        <v>70</v>
      </c>
      <c r="AL88" s="6">
        <v>70</v>
      </c>
    </row>
    <row r="89" ht="25" customHeight="1" spans="1:38" x14ac:dyDescent="0.25">
      <c r="A89" s="12" t="s">
        <v>115</v>
      </c>
      <c r="B89" s="13" t="s">
        <v>117</v>
      </c>
      <c r="C89" s="6">
        <v>4000</v>
      </c>
      <c r="D89" s="6">
        <v>4000</v>
      </c>
      <c r="E89" s="6">
        <v>4000</v>
      </c>
      <c r="F89" s="6">
        <v>4000</v>
      </c>
      <c r="G89" s="6">
        <v>4000</v>
      </c>
      <c r="H89" s="6">
        <v>4000</v>
      </c>
      <c r="I89" s="6">
        <v>4000</v>
      </c>
      <c r="J89" s="6">
        <v>4000</v>
      </c>
      <c r="K89" s="6">
        <v>4000</v>
      </c>
      <c r="L89" s="6">
        <v>4000</v>
      </c>
      <c r="M89" s="6">
        <v>4000</v>
      </c>
      <c r="N89" s="6">
        <v>4000</v>
      </c>
      <c r="O89" s="6">
        <v>4000</v>
      </c>
      <c r="P89" s="6">
        <v>4000</v>
      </c>
      <c r="Q89" s="6">
        <v>4000</v>
      </c>
      <c r="R89" s="6">
        <v>4000</v>
      </c>
      <c r="S89" s="6">
        <v>4000</v>
      </c>
      <c r="T89" s="6">
        <v>4000</v>
      </c>
      <c r="U89" s="6">
        <v>4000</v>
      </c>
      <c r="V89" s="6">
        <v>4000</v>
      </c>
      <c r="W89" s="6">
        <v>4000</v>
      </c>
      <c r="X89" s="6">
        <v>4000</v>
      </c>
      <c r="Y89" s="6">
        <v>4000</v>
      </c>
      <c r="Z89" s="6">
        <v>4000</v>
      </c>
      <c r="AA89" s="6">
        <v>5000</v>
      </c>
      <c r="AB89" s="6">
        <v>5000</v>
      </c>
      <c r="AC89" s="6">
        <v>5000</v>
      </c>
      <c r="AD89" s="6">
        <v>5000</v>
      </c>
      <c r="AE89" s="6">
        <v>5000</v>
      </c>
      <c r="AF89" s="6">
        <v>5000</v>
      </c>
      <c r="AG89" s="6">
        <v>5000</v>
      </c>
      <c r="AH89" s="6">
        <v>5000</v>
      </c>
      <c r="AI89" s="6">
        <v>5000</v>
      </c>
      <c r="AJ89" s="6">
        <v>5000</v>
      </c>
      <c r="AK89" s="6">
        <v>5000</v>
      </c>
      <c r="AL89" s="6">
        <v>5000</v>
      </c>
    </row>
    <row r="90" ht="25" customHeight="1" spans="1:38" x14ac:dyDescent="0.25">
      <c r="A90" s="12" t="s">
        <v>118</v>
      </c>
      <c r="B90" s="13" t="s">
        <v>119</v>
      </c>
      <c r="C90" s="6">
        <v>3333</v>
      </c>
      <c r="D90" s="6">
        <v>3333</v>
      </c>
      <c r="E90" s="6">
        <v>3333</v>
      </c>
      <c r="F90" s="6">
        <v>3333</v>
      </c>
      <c r="G90" s="6">
        <v>3333</v>
      </c>
      <c r="H90" s="6">
        <v>3333</v>
      </c>
      <c r="I90" s="6">
        <v>3333</v>
      </c>
      <c r="J90" s="6">
        <v>3333</v>
      </c>
      <c r="K90" s="6">
        <v>3333</v>
      </c>
      <c r="L90" s="6">
        <v>3333</v>
      </c>
      <c r="M90" s="6">
        <v>3333</v>
      </c>
      <c r="N90" s="6">
        <v>3333</v>
      </c>
      <c r="O90" s="6">
        <v>3333</v>
      </c>
      <c r="P90" s="6">
        <v>3333</v>
      </c>
      <c r="Q90" s="6">
        <v>3333</v>
      </c>
      <c r="R90" s="6">
        <v>3333</v>
      </c>
      <c r="S90" s="6">
        <v>3333</v>
      </c>
      <c r="T90" s="6">
        <v>3333</v>
      </c>
      <c r="U90" s="6">
        <v>4000</v>
      </c>
      <c r="V90" s="6">
        <v>4000</v>
      </c>
      <c r="W90" s="6">
        <v>4000</v>
      </c>
      <c r="X90" s="6">
        <v>4000</v>
      </c>
      <c r="Y90" s="6">
        <v>4000</v>
      </c>
      <c r="Z90" s="6">
        <v>4000</v>
      </c>
      <c r="AA90" s="6">
        <v>4166.25</v>
      </c>
      <c r="AB90" s="6">
        <v>4166.25</v>
      </c>
      <c r="AC90" s="6">
        <v>4166.25</v>
      </c>
      <c r="AD90" s="6">
        <v>4166.25</v>
      </c>
      <c r="AE90" s="6">
        <v>4166.25</v>
      </c>
      <c r="AF90" s="6">
        <v>4166.25</v>
      </c>
      <c r="AG90" s="6">
        <v>4166.25</v>
      </c>
      <c r="AH90" s="6">
        <v>4166.25</v>
      </c>
      <c r="AI90" s="6">
        <v>4166.25</v>
      </c>
      <c r="AJ90" s="6">
        <v>4166.25</v>
      </c>
      <c r="AK90" s="6">
        <v>4166.25</v>
      </c>
      <c r="AL90" s="6">
        <v>4166.25</v>
      </c>
    </row>
    <row r="91" ht="25" customHeight="1" spans="1:38" x14ac:dyDescent="0.25">
      <c r="A91" s="12" t="s">
        <v>120</v>
      </c>
      <c r="B91" s="13" t="s">
        <v>122</v>
      </c>
      <c r="C91" s="6">
        <v>5000</v>
      </c>
      <c r="D91" s="6">
        <v>5000</v>
      </c>
      <c r="E91" s="6">
        <v>5000</v>
      </c>
      <c r="F91" s="6">
        <v>5000</v>
      </c>
      <c r="G91" s="6">
        <v>5000</v>
      </c>
      <c r="H91" s="6">
        <v>5000</v>
      </c>
      <c r="I91" s="6">
        <v>6000</v>
      </c>
      <c r="J91" s="6">
        <v>6000</v>
      </c>
      <c r="K91" s="6">
        <v>6000</v>
      </c>
      <c r="L91" s="6">
        <v>6000</v>
      </c>
      <c r="M91" s="6">
        <v>6000</v>
      </c>
      <c r="N91" s="6">
        <v>6000</v>
      </c>
      <c r="O91" s="6">
        <v>12000</v>
      </c>
      <c r="P91" s="6">
        <v>12000</v>
      </c>
      <c r="Q91" s="6">
        <v>12000</v>
      </c>
      <c r="R91" s="6">
        <v>12000</v>
      </c>
      <c r="S91" s="6">
        <v>12000</v>
      </c>
      <c r="T91" s="6">
        <v>12000</v>
      </c>
      <c r="U91" s="6">
        <v>12000</v>
      </c>
      <c r="V91" s="6">
        <v>12000</v>
      </c>
      <c r="W91" s="6">
        <v>12000</v>
      </c>
      <c r="X91" s="6">
        <v>12000</v>
      </c>
      <c r="Y91" s="6">
        <v>12000</v>
      </c>
      <c r="Z91" s="6">
        <v>12000</v>
      </c>
      <c r="AA91" s="6">
        <v>15000</v>
      </c>
      <c r="AB91" s="6">
        <v>15000</v>
      </c>
      <c r="AC91" s="6">
        <v>15000</v>
      </c>
      <c r="AD91" s="6">
        <v>15000</v>
      </c>
      <c r="AE91" s="6">
        <v>15000</v>
      </c>
      <c r="AF91" s="6">
        <v>15000</v>
      </c>
      <c r="AG91" s="6">
        <v>15000</v>
      </c>
      <c r="AH91" s="6">
        <v>15000</v>
      </c>
      <c r="AI91" s="6">
        <v>15000</v>
      </c>
      <c r="AJ91" s="6">
        <v>15000</v>
      </c>
      <c r="AK91" s="6">
        <v>15000</v>
      </c>
      <c r="AL91" s="6">
        <v>15000</v>
      </c>
    </row>
    <row r="92" ht="25" customHeight="1" spans="1:38" x14ac:dyDescent="0.25">
      <c r="A92" s="12" t="s">
        <v>123</v>
      </c>
      <c r="B92" s="13" t="s">
        <v>124</v>
      </c>
      <c r="C92" s="6">
        <v>5000</v>
      </c>
      <c r="D92" s="6">
        <v>5000</v>
      </c>
      <c r="E92" s="6">
        <v>5000</v>
      </c>
      <c r="F92" s="6">
        <v>5000</v>
      </c>
      <c r="G92" s="6">
        <v>5000</v>
      </c>
      <c r="H92" s="6">
        <v>5000</v>
      </c>
      <c r="I92" s="6">
        <v>6000</v>
      </c>
      <c r="J92" s="6">
        <v>6000</v>
      </c>
      <c r="K92" s="6">
        <v>6000</v>
      </c>
      <c r="L92" s="6">
        <v>6000</v>
      </c>
      <c r="M92" s="6">
        <v>6000</v>
      </c>
      <c r="N92" s="6">
        <v>6000</v>
      </c>
      <c r="O92" s="6">
        <v>12000</v>
      </c>
      <c r="P92" s="6">
        <v>12000</v>
      </c>
      <c r="Q92" s="6">
        <v>12000</v>
      </c>
      <c r="R92" s="6">
        <v>12000</v>
      </c>
      <c r="S92" s="6">
        <v>12000</v>
      </c>
      <c r="T92" s="6">
        <v>12000</v>
      </c>
      <c r="U92" s="6">
        <v>12000</v>
      </c>
      <c r="V92" s="6">
        <v>12000</v>
      </c>
      <c r="W92" s="6">
        <v>12000</v>
      </c>
      <c r="X92" s="6">
        <v>12000</v>
      </c>
      <c r="Y92" s="6">
        <v>12000</v>
      </c>
      <c r="Z92" s="6">
        <v>12000</v>
      </c>
      <c r="AA92" s="6">
        <v>15000</v>
      </c>
      <c r="AB92" s="6">
        <v>15000</v>
      </c>
      <c r="AC92" s="6">
        <v>15000</v>
      </c>
      <c r="AD92" s="6">
        <v>15000</v>
      </c>
      <c r="AE92" s="6">
        <v>15000</v>
      </c>
      <c r="AF92" s="6">
        <v>15000</v>
      </c>
      <c r="AG92" s="6">
        <v>15000</v>
      </c>
      <c r="AH92" s="6">
        <v>15000</v>
      </c>
      <c r="AI92" s="6">
        <v>15000</v>
      </c>
      <c r="AJ92" s="6">
        <v>15000</v>
      </c>
      <c r="AK92" s="6">
        <v>15000</v>
      </c>
      <c r="AL92" s="6">
        <v>15000</v>
      </c>
    </row>
    <row r="93" ht="25" customHeight="1" spans="1:38" x14ac:dyDescent="0.25">
      <c r="A93" s="12" t="s">
        <v>125</v>
      </c>
      <c r="B93" s="13" t="s">
        <v>127</v>
      </c>
      <c r="C93" s="6">
        <v>1500</v>
      </c>
      <c r="D93" s="6">
        <v>1500</v>
      </c>
      <c r="E93" s="6">
        <v>1500</v>
      </c>
      <c r="F93" s="6">
        <v>1500</v>
      </c>
      <c r="G93" s="6">
        <v>1500</v>
      </c>
      <c r="H93" s="6">
        <v>1500</v>
      </c>
      <c r="I93" s="6">
        <v>2000</v>
      </c>
      <c r="J93" s="6">
        <v>2000</v>
      </c>
      <c r="K93" s="6">
        <v>2000</v>
      </c>
      <c r="L93" s="6">
        <v>2000</v>
      </c>
      <c r="M93" s="6">
        <v>2000</v>
      </c>
      <c r="N93" s="6">
        <v>2000</v>
      </c>
      <c r="O93" s="6">
        <v>2500</v>
      </c>
      <c r="P93" s="6">
        <v>2500</v>
      </c>
      <c r="Q93" s="6">
        <v>2500</v>
      </c>
      <c r="R93" s="6">
        <v>2500</v>
      </c>
      <c r="S93" s="6">
        <v>2500</v>
      </c>
      <c r="T93" s="6">
        <v>2500</v>
      </c>
      <c r="U93" s="6">
        <v>3000</v>
      </c>
      <c r="V93" s="6">
        <v>3000</v>
      </c>
      <c r="W93" s="6">
        <v>3000</v>
      </c>
      <c r="X93" s="6">
        <v>3000</v>
      </c>
      <c r="Y93" s="6">
        <v>3000</v>
      </c>
      <c r="Z93" s="6">
        <v>3000</v>
      </c>
      <c r="AA93" s="6">
        <v>3000</v>
      </c>
      <c r="AB93" s="6">
        <v>3000</v>
      </c>
      <c r="AC93" s="6">
        <v>3000</v>
      </c>
      <c r="AD93" s="6">
        <v>3000</v>
      </c>
      <c r="AE93" s="6">
        <v>3000</v>
      </c>
      <c r="AF93" s="6">
        <v>3000</v>
      </c>
      <c r="AG93" s="6">
        <v>3000</v>
      </c>
      <c r="AH93" s="6">
        <v>3000</v>
      </c>
      <c r="AI93" s="6">
        <v>3000</v>
      </c>
      <c r="AJ93" s="6">
        <v>3000</v>
      </c>
      <c r="AK93" s="6">
        <v>3000</v>
      </c>
      <c r="AL93" s="6">
        <v>3000</v>
      </c>
    </row>
    <row r="94" ht="25" customHeight="1" spans="1:38" x14ac:dyDescent="0.25">
      <c r="A94" s="12" t="s">
        <v>128</v>
      </c>
      <c r="B94" s="13" t="s">
        <v>129</v>
      </c>
      <c r="C94" s="18">
        <v>0.1</v>
      </c>
      <c r="D94" s="18">
        <v>0.1</v>
      </c>
      <c r="E94" s="18">
        <v>0.1</v>
      </c>
      <c r="F94" s="18">
        <v>0.1</v>
      </c>
      <c r="G94" s="18">
        <v>0.1</v>
      </c>
      <c r="H94" s="18">
        <v>0.1</v>
      </c>
      <c r="I94" s="18">
        <v>0.1</v>
      </c>
      <c r="J94" s="18">
        <v>0.1</v>
      </c>
      <c r="K94" s="18">
        <v>0.1</v>
      </c>
      <c r="L94" s="18">
        <v>0.1</v>
      </c>
      <c r="M94" s="18">
        <v>0.1</v>
      </c>
      <c r="N94" s="18">
        <v>0.1</v>
      </c>
      <c r="O94" s="18">
        <v>0.1</v>
      </c>
      <c r="P94" s="18">
        <v>0.1</v>
      </c>
      <c r="Q94" s="18">
        <v>0.1</v>
      </c>
      <c r="R94" s="18">
        <v>0.1</v>
      </c>
      <c r="S94" s="18">
        <v>0.1</v>
      </c>
      <c r="T94" s="18">
        <v>0.1</v>
      </c>
      <c r="U94" s="18">
        <v>0.1</v>
      </c>
      <c r="V94" s="18">
        <v>0.1</v>
      </c>
      <c r="W94" s="18">
        <v>0.1</v>
      </c>
      <c r="X94" s="18">
        <v>0.1</v>
      </c>
      <c r="Y94" s="18">
        <v>0.1</v>
      </c>
      <c r="Z94" s="18">
        <v>0.1</v>
      </c>
      <c r="AA94" s="18">
        <v>0.1</v>
      </c>
      <c r="AB94" s="18">
        <v>0.1</v>
      </c>
      <c r="AC94" s="18">
        <v>0.1</v>
      </c>
      <c r="AD94" s="18">
        <v>0.1</v>
      </c>
      <c r="AE94" s="18">
        <v>0.1</v>
      </c>
      <c r="AF94" s="18">
        <v>0.1</v>
      </c>
      <c r="AG94" s="18">
        <v>0.1</v>
      </c>
      <c r="AH94" s="18">
        <v>0.1</v>
      </c>
      <c r="AI94" s="18">
        <v>0.1</v>
      </c>
      <c r="AJ94" s="18">
        <v>0.1</v>
      </c>
      <c r="AK94" s="18">
        <v>0.1</v>
      </c>
      <c r="AL94" s="18">
        <v>0.1</v>
      </c>
    </row>
    <row r="95" ht="25" customHeight="1" spans="1:38" x14ac:dyDescent="0.25">
      <c r="A95" s="12" t="s">
        <v>132</v>
      </c>
      <c r="B95" s="13" t="s">
        <v>133</v>
      </c>
      <c r="C95" s="6">
        <v>1000</v>
      </c>
      <c r="D95" s="6">
        <v>1000</v>
      </c>
      <c r="E95" s="6">
        <v>1000</v>
      </c>
      <c r="F95" s="6">
        <v>1000</v>
      </c>
      <c r="G95" s="6">
        <v>1000</v>
      </c>
      <c r="H95" s="6">
        <v>1000</v>
      </c>
      <c r="I95" s="6">
        <v>1000</v>
      </c>
      <c r="J95" s="6">
        <v>1000</v>
      </c>
      <c r="K95" s="6">
        <v>1000</v>
      </c>
      <c r="L95" s="6">
        <v>1000</v>
      </c>
      <c r="M95" s="6">
        <v>1000</v>
      </c>
      <c r="N95" s="6">
        <v>1000</v>
      </c>
      <c r="O95" s="6">
        <v>2000</v>
      </c>
      <c r="P95" s="6">
        <v>2000</v>
      </c>
      <c r="Q95" s="6">
        <v>2000</v>
      </c>
      <c r="R95" s="6">
        <v>2000</v>
      </c>
      <c r="S95" s="6">
        <v>2000</v>
      </c>
      <c r="T95" s="6">
        <v>2000</v>
      </c>
      <c r="U95" s="6">
        <v>2500</v>
      </c>
      <c r="V95" s="6">
        <v>2500</v>
      </c>
      <c r="W95" s="6">
        <v>2500</v>
      </c>
      <c r="X95" s="6">
        <v>2500</v>
      </c>
      <c r="Y95" s="6">
        <v>2500</v>
      </c>
      <c r="Z95" s="6">
        <v>2500</v>
      </c>
      <c r="AA95" s="6">
        <v>2500</v>
      </c>
      <c r="AB95" s="6">
        <v>2500</v>
      </c>
      <c r="AC95" s="6">
        <v>2500</v>
      </c>
      <c r="AD95" s="6">
        <v>2500</v>
      </c>
      <c r="AE95" s="6">
        <v>2500</v>
      </c>
      <c r="AF95" s="6">
        <v>2500</v>
      </c>
      <c r="AG95" s="6">
        <v>2500</v>
      </c>
      <c r="AH95" s="6">
        <v>2500</v>
      </c>
      <c r="AI95" s="6">
        <v>2500</v>
      </c>
      <c r="AJ95" s="6">
        <v>2500</v>
      </c>
      <c r="AK95" s="6">
        <v>2500</v>
      </c>
      <c r="AL95" s="6">
        <v>2500</v>
      </c>
    </row>
    <row r="96" ht="25" customHeight="1" spans="1:38" x14ac:dyDescent="0.25">
      <c r="A96" s="12" t="s">
        <v>134</v>
      </c>
      <c r="B96" s="13" t="s">
        <v>135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3000</v>
      </c>
      <c r="P96" s="6">
        <v>3000</v>
      </c>
      <c r="Q96" s="6">
        <v>3000</v>
      </c>
      <c r="R96" s="6">
        <v>3000</v>
      </c>
      <c r="S96" s="6">
        <v>3000</v>
      </c>
      <c r="T96" s="6">
        <v>3000</v>
      </c>
      <c r="U96" s="6">
        <v>3500</v>
      </c>
      <c r="V96" s="6">
        <v>3500</v>
      </c>
      <c r="W96" s="6">
        <v>3500</v>
      </c>
      <c r="X96" s="6">
        <v>3500</v>
      </c>
      <c r="Y96" s="6">
        <v>3500</v>
      </c>
      <c r="Z96" s="6">
        <v>3500</v>
      </c>
      <c r="AA96" s="6">
        <v>4500</v>
      </c>
      <c r="AB96" s="6">
        <v>4500</v>
      </c>
      <c r="AC96" s="6">
        <v>4500</v>
      </c>
      <c r="AD96" s="6">
        <v>4500</v>
      </c>
      <c r="AE96" s="6">
        <v>4500</v>
      </c>
      <c r="AF96" s="6">
        <v>4500</v>
      </c>
      <c r="AG96" s="6">
        <v>4500</v>
      </c>
      <c r="AH96" s="6">
        <v>4500</v>
      </c>
      <c r="AI96" s="6">
        <v>4500</v>
      </c>
      <c r="AJ96" s="6">
        <v>4500</v>
      </c>
      <c r="AK96" s="6">
        <v>4500</v>
      </c>
      <c r="AL96" s="6">
        <v>4500</v>
      </c>
    </row>
    <row r="97" ht="25" customHeight="1" spans="1:38" x14ac:dyDescent="0.25">
      <c r="A97" s="12" t="s">
        <v>136</v>
      </c>
      <c r="B97" s="13" t="s">
        <v>137</v>
      </c>
      <c r="C97" s="6">
        <v>0</v>
      </c>
      <c r="D97" s="6">
        <v>0</v>
      </c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4000</v>
      </c>
      <c r="V97" s="6">
        <v>4000</v>
      </c>
      <c r="W97" s="6">
        <v>4000</v>
      </c>
      <c r="X97" s="6">
        <v>4000</v>
      </c>
      <c r="Y97" s="6">
        <v>4000</v>
      </c>
      <c r="Z97" s="6">
        <v>4000</v>
      </c>
      <c r="AA97" s="6">
        <v>4000</v>
      </c>
      <c r="AB97" s="6">
        <v>4000</v>
      </c>
      <c r="AC97" s="6">
        <v>4000</v>
      </c>
      <c r="AD97" s="6">
        <v>4000</v>
      </c>
      <c r="AE97" s="6">
        <v>4000</v>
      </c>
      <c r="AF97" s="6">
        <v>4000</v>
      </c>
      <c r="AG97" s="6">
        <v>4000</v>
      </c>
      <c r="AH97" s="6">
        <v>4000</v>
      </c>
      <c r="AI97" s="6">
        <v>4000</v>
      </c>
      <c r="AJ97" s="6">
        <v>4000</v>
      </c>
      <c r="AK97" s="6">
        <v>4000</v>
      </c>
      <c r="AL97" s="6">
        <v>4000</v>
      </c>
    </row>
  </sheetData>
  <autoFilter ref="A60:F76"/>
  <mergeCells count="2">
    <mergeCell ref="A1:AP1"/>
    <mergeCell ref="A2:AP2"/>
  </mergeCel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98A58"/>
  </sheetPr>
  <dimension ref="A1:AM39"/>
  <sheetViews>
    <sheetView workbookViewId="0" showGridLines="0">
      <pane xSplit="2" ySplit="3" topLeftCell="C4" activePane="bottomRight" state="frozen"/>
      <selection pane="bottomRight"/>
    </sheetView>
  </sheetViews>
  <sheetFormatPr defaultRowHeight="25" customHeight="1"/>
  <cols>
    <col min="1" max="1" width="28" customWidth="1"/>
    <col min="2" max="2" width="35" customWidth="1"/>
    <col min="3" max="39" width="15.5" customWidth="1"/>
  </cols>
  <sheetData>
    <row r="1" ht="38" customHeight="1" spans="1:39" x14ac:dyDescent="0.25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ht="24" customHeight="1" spans="1:39" x14ac:dyDescent="0.25">
      <c r="A2" s="20" t="s">
        <v>141</v>
      </c>
      <c r="B2" s="21" t="s">
        <v>142</v>
      </c>
      <c r="C2" s="22" t="s">
        <v>3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4" t="s">
        <v>4</v>
      </c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6" t="s">
        <v>5</v>
      </c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8" t="s">
        <v>143</v>
      </c>
    </row>
    <row r="3" ht="29" customHeight="1" spans="1:39" x14ac:dyDescent="0.25">
      <c r="A3" s="3" t="s">
        <v>89</v>
      </c>
      <c r="B3" s="3" t="s">
        <v>144</v>
      </c>
      <c r="C3" s="3" t="s">
        <v>21</v>
      </c>
      <c r="D3" s="3" t="s">
        <v>22</v>
      </c>
      <c r="E3" s="3" t="s">
        <v>23</v>
      </c>
      <c r="F3" s="3" t="s">
        <v>24</v>
      </c>
      <c r="G3" s="3" t="s">
        <v>25</v>
      </c>
      <c r="H3" s="3" t="s">
        <v>26</v>
      </c>
      <c r="I3" s="3" t="s">
        <v>27</v>
      </c>
      <c r="J3" s="3" t="s">
        <v>28</v>
      </c>
      <c r="K3" s="3" t="s">
        <v>29</v>
      </c>
      <c r="L3" s="3" t="s">
        <v>30</v>
      </c>
      <c r="M3" s="3" t="s">
        <v>31</v>
      </c>
      <c r="N3" s="3" t="s">
        <v>32</v>
      </c>
      <c r="O3" s="3" t="s">
        <v>33</v>
      </c>
      <c r="P3" s="3" t="s">
        <v>34</v>
      </c>
      <c r="Q3" s="3" t="s">
        <v>35</v>
      </c>
      <c r="R3" s="3" t="s">
        <v>36</v>
      </c>
      <c r="S3" s="3" t="s">
        <v>37</v>
      </c>
      <c r="T3" s="3" t="s">
        <v>38</v>
      </c>
      <c r="U3" s="3" t="s">
        <v>39</v>
      </c>
      <c r="V3" s="3" t="s">
        <v>40</v>
      </c>
      <c r="W3" s="3" t="s">
        <v>41</v>
      </c>
      <c r="X3" s="3" t="s">
        <v>42</v>
      </c>
      <c r="Y3" s="3" t="s">
        <v>43</v>
      </c>
      <c r="Z3" s="3" t="s">
        <v>44</v>
      </c>
      <c r="AA3" s="3" t="s">
        <v>45</v>
      </c>
      <c r="AB3" s="3" t="s">
        <v>46</v>
      </c>
      <c r="AC3" s="3" t="s">
        <v>47</v>
      </c>
      <c r="AD3" s="3" t="s">
        <v>48</v>
      </c>
      <c r="AE3" s="3" t="s">
        <v>49</v>
      </c>
      <c r="AF3" s="3" t="s">
        <v>50</v>
      </c>
      <c r="AG3" s="3" t="s">
        <v>51</v>
      </c>
      <c r="AH3" s="3" t="s">
        <v>52</v>
      </c>
      <c r="AI3" s="3" t="s">
        <v>53</v>
      </c>
      <c r="AJ3" s="3" t="s">
        <v>54</v>
      </c>
      <c r="AK3" s="3" t="s">
        <v>55</v>
      </c>
      <c r="AL3" s="3" t="s">
        <v>56</v>
      </c>
      <c r="AM3" s="3" t="s">
        <v>143</v>
      </c>
    </row>
    <row r="4" ht="25" customHeight="1" spans="1:39" x14ac:dyDescent="0.25">
      <c r="A4" s="29" t="s">
        <v>18</v>
      </c>
      <c r="B4" s="29" t="s">
        <v>145</v>
      </c>
      <c r="C4" s="5">
        <f>'Assumptions'!B8</f>
        <v>160</v>
      </c>
      <c r="D4" s="5">
        <f>C7</f>
        <v>170.45</v>
      </c>
      <c r="E4" s="5">
        <f>D7</f>
        <v>180.84775</v>
      </c>
      <c r="F4" s="5">
        <f>E7</f>
        <v>194.94351125</v>
      </c>
      <c r="G4" s="5">
        <f>F7</f>
        <v>208.96879369375</v>
      </c>
      <c r="H4" s="5">
        <f>G7</f>
        <v>226.67394972528126</v>
      </c>
      <c r="I4" s="5">
        <f>H7</f>
        <v>245.54057997665487</v>
      </c>
      <c r="J4" s="5">
        <f>I7</f>
        <v>269.31287707677154</v>
      </c>
      <c r="K4" s="5">
        <f>J7</f>
        <v>305.46631269138766</v>
      </c>
      <c r="L4" s="5">
        <f>K7</f>
        <v>361.43898112793073</v>
      </c>
      <c r="M4" s="5">
        <f>L7</f>
        <v>417.13178622229105</v>
      </c>
      <c r="N4" s="5">
        <f>M7</f>
        <v>472.5461272911796</v>
      </c>
      <c r="O4" s="5">
        <f>N7</f>
        <v>527.6833966547237</v>
      </c>
      <c r="P4" s="5">
        <f>O7</f>
        <v>595.04497967145</v>
      </c>
      <c r="Q4" s="5">
        <f>P7</f>
        <v>662.0697547730928</v>
      </c>
      <c r="R4" s="5">
        <f>Q7</f>
        <v>728.7594059992273</v>
      </c>
      <c r="S4" s="5">
        <f>R7</f>
        <v>807.6156089692312</v>
      </c>
      <c r="T4" s="5">
        <f>S7</f>
        <v>886.077530924385</v>
      </c>
      <c r="U4" s="5">
        <f>T7</f>
        <v>964.1471432697631</v>
      </c>
      <c r="V4" s="5">
        <f>U7</f>
        <v>1051.8264075534144</v>
      </c>
      <c r="W4" s="5">
        <f>V7</f>
        <v>1151.5672755156472</v>
      </c>
      <c r="X4" s="5">
        <f>W7</f>
        <v>1250.809439138069</v>
      </c>
      <c r="Y4" s="5">
        <f>X7</f>
        <v>1349.5553919423785</v>
      </c>
      <c r="Z4" s="5">
        <f>Y7</f>
        <v>1460.3076149826666</v>
      </c>
      <c r="AA4" s="5">
        <f>Z7</f>
        <v>1570.5060769077531</v>
      </c>
      <c r="AB4" s="5">
        <f>AA7</f>
        <v>1707.6535465232143</v>
      </c>
      <c r="AC4" s="5">
        <f>AB7</f>
        <v>1844.1152787905983</v>
      </c>
      <c r="AD4" s="5">
        <f>AC7</f>
        <v>1992.3947023966452</v>
      </c>
      <c r="AE4" s="5">
        <f>AD7</f>
        <v>2152.432728884662</v>
      </c>
      <c r="AF4" s="5">
        <f>AE7</f>
        <v>2311.670565240239</v>
      </c>
      <c r="AG4" s="5">
        <f>AF7</f>
        <v>2470.1122124140375</v>
      </c>
      <c r="AH4" s="5">
        <f>AG7</f>
        <v>2677.7616513519674</v>
      </c>
      <c r="AI4" s="5">
        <f>AH7</f>
        <v>2896.8728430952074</v>
      </c>
      <c r="AJ4" s="5">
        <f>AI7</f>
        <v>3114.8884788797313</v>
      </c>
      <c r="AK4" s="5">
        <f>AJ7</f>
        <v>3344.3140364853325</v>
      </c>
      <c r="AL4" s="5">
        <f>AK7</f>
        <v>3572.592466302906</v>
      </c>
      <c r="AM4" s="5">
        <f>AL4</f>
        <v>3572.592466302906</v>
      </c>
    </row>
    <row r="5" ht="25" customHeight="1" spans="1:39" x14ac:dyDescent="0.25">
      <c r="A5" s="29" t="s">
        <v>18</v>
      </c>
      <c r="B5" s="29" t="s">
        <v>7</v>
      </c>
      <c r="C5" s="5">
        <f>C12/C8</f>
        <v>11.25</v>
      </c>
      <c r="D5" s="5">
        <f>D12/D8</f>
        <v>11.25</v>
      </c>
      <c r="E5" s="5">
        <f>E12/E8</f>
        <v>15</v>
      </c>
      <c r="F5" s="5">
        <f>F12/F8</f>
        <v>15</v>
      </c>
      <c r="G5" s="5">
        <f>G12/G8</f>
        <v>18.75</v>
      </c>
      <c r="H5" s="5">
        <f>H12/H8</f>
        <v>20</v>
      </c>
      <c r="I5" s="5">
        <f>I12/I8</f>
        <v>25</v>
      </c>
      <c r="J5" s="5">
        <f>J12/J8</f>
        <v>37.5</v>
      </c>
      <c r="K5" s="5">
        <f>K12/K8</f>
        <v>57.5</v>
      </c>
      <c r="L5" s="5">
        <f>L12/L8</f>
        <v>57.5</v>
      </c>
      <c r="M5" s="5">
        <f>M12/M8</f>
        <v>57.5</v>
      </c>
      <c r="N5" s="5">
        <f>N12/N8</f>
        <v>57.5</v>
      </c>
      <c r="O5" s="5">
        <f>O12/O8</f>
        <v>70</v>
      </c>
      <c r="P5" s="5">
        <f>P12/P8</f>
        <v>70</v>
      </c>
      <c r="Q5" s="5">
        <f>Q12/Q8</f>
        <v>70</v>
      </c>
      <c r="R5" s="5">
        <f>R12/R8</f>
        <v>82.5</v>
      </c>
      <c r="S5" s="5">
        <f>S12/S8</f>
        <v>82.5</v>
      </c>
      <c r="T5" s="5">
        <f>T12/T8</f>
        <v>82.5</v>
      </c>
      <c r="U5" s="5">
        <f>U12/U8</f>
        <v>92.5</v>
      </c>
      <c r="V5" s="5">
        <f>V12/V8</f>
        <v>105</v>
      </c>
      <c r="W5" s="5">
        <f>W12/W8</f>
        <v>105</v>
      </c>
      <c r="X5" s="5">
        <f>X12/X8</f>
        <v>105</v>
      </c>
      <c r="Y5" s="5">
        <f>Y12/Y8</f>
        <v>117.5</v>
      </c>
      <c r="Z5" s="5">
        <f>Z12/Z8</f>
        <v>117.5</v>
      </c>
      <c r="AA5" s="5">
        <f>AA12/AA8</f>
        <v>145</v>
      </c>
      <c r="AB5" s="5">
        <f>AB12/AB8</f>
        <v>145</v>
      </c>
      <c r="AC5" s="5">
        <f>AC12/AC8</f>
        <v>157.5</v>
      </c>
      <c r="AD5" s="5">
        <f>AD12/AD8</f>
        <v>170</v>
      </c>
      <c r="AE5" s="5">
        <f>AE12/AE8</f>
        <v>170</v>
      </c>
      <c r="AF5" s="5">
        <f>AF12/AF8</f>
        <v>170</v>
      </c>
      <c r="AG5" s="5">
        <f>AG12/AG8</f>
        <v>220</v>
      </c>
      <c r="AH5" s="5">
        <f>AH12/AH8</f>
        <v>232.5</v>
      </c>
      <c r="AI5" s="5">
        <f>AI12/AI8</f>
        <v>232.5</v>
      </c>
      <c r="AJ5" s="5">
        <f>AJ12/AJ8</f>
        <v>245</v>
      </c>
      <c r="AK5" s="5">
        <f>AK12/AK8</f>
        <v>245</v>
      </c>
      <c r="AL5" s="5">
        <f>AL12/AL8</f>
        <v>245</v>
      </c>
      <c r="AM5" s="5">
        <f>SUM(C5:AL5)</f>
        <v>3861.25</v>
      </c>
    </row>
    <row r="6" ht="25" customHeight="1" spans="1:39" x14ac:dyDescent="0.25">
      <c r="A6" s="29" t="s">
        <v>18</v>
      </c>
      <c r="B6" s="29" t="s">
        <v>146</v>
      </c>
      <c r="C6" s="5">
        <f>C4*C10</f>
        <v>0.8</v>
      </c>
      <c r="D6" s="5">
        <f>D4*D10</f>
        <v>0.85225</v>
      </c>
      <c r="E6" s="5">
        <f>E4*E10</f>
        <v>0.90423875</v>
      </c>
      <c r="F6" s="5">
        <f>F4*F10</f>
        <v>0.97471755625</v>
      </c>
      <c r="G6" s="5">
        <f>G4*G10</f>
        <v>1.04484396846875</v>
      </c>
      <c r="H6" s="5">
        <f>H4*H10</f>
        <v>1.1333697486264063</v>
      </c>
      <c r="I6" s="5">
        <f>I4*I10</f>
        <v>1.2277028998832744</v>
      </c>
      <c r="J6" s="5">
        <f>J4*J10</f>
        <v>1.3465643853838578</v>
      </c>
      <c r="K6" s="5">
        <f>K4*K10</f>
        <v>1.5273315634569382</v>
      </c>
      <c r="L6" s="5">
        <f>L4*L10</f>
        <v>1.8071949056396537</v>
      </c>
      <c r="M6" s="5">
        <f>M4*M10</f>
        <v>2.0856589311114555</v>
      </c>
      <c r="N6" s="5">
        <f>N4*N10</f>
        <v>2.3627306364558978</v>
      </c>
      <c r="O6" s="5">
        <f>O4*O10</f>
        <v>2.6384169832736184</v>
      </c>
      <c r="P6" s="5">
        <f>P4*P10</f>
        <v>2.9752248983572502</v>
      </c>
      <c r="Q6" s="5">
        <f>Q4*Q10</f>
        <v>3.310348773865464</v>
      </c>
      <c r="R6" s="5">
        <f>R4*R10</f>
        <v>3.6437970299961364</v>
      </c>
      <c r="S6" s="5">
        <f>S4*S10</f>
        <v>4.038078044846156</v>
      </c>
      <c r="T6" s="5">
        <f>T4*T10</f>
        <v>4.430387654621925</v>
      </c>
      <c r="U6" s="5">
        <f>U4*U10</f>
        <v>4.820735716348816</v>
      </c>
      <c r="V6" s="5">
        <f>V4*V10</f>
        <v>5.259132037767072</v>
      </c>
      <c r="W6" s="5">
        <f>W4*W10</f>
        <v>5.757836377578236</v>
      </c>
      <c r="X6" s="5">
        <f>X4*X10</f>
        <v>6.254047195690345</v>
      </c>
      <c r="Y6" s="5">
        <f>Y4*Y10</f>
        <v>6.747776959711892</v>
      </c>
      <c r="Z6" s="5">
        <f>Z4*Z10</f>
        <v>7.301538074913333</v>
      </c>
      <c r="AA6" s="5">
        <f>AA4*AA10</f>
        <v>7.852530384538766</v>
      </c>
      <c r="AB6" s="5">
        <f>AB4*AB10</f>
        <v>8.538267732616072</v>
      </c>
      <c r="AC6" s="5">
        <f>AC4*AC10</f>
        <v>9.220576393952992</v>
      </c>
      <c r="AD6" s="5">
        <f>AD4*AD10</f>
        <v>9.961973511983226</v>
      </c>
      <c r="AE6" s="5">
        <f>AE4*AE10</f>
        <v>10.76216364442331</v>
      </c>
      <c r="AF6" s="5">
        <f>AF4*AF10</f>
        <v>11.558352826201194</v>
      </c>
      <c r="AG6" s="5">
        <f>AG4*AG10</f>
        <v>12.350561062070188</v>
      </c>
      <c r="AH6" s="5">
        <f>AH4*AH10</f>
        <v>13.388808256759837</v>
      </c>
      <c r="AI6" s="5">
        <f>AI4*AI10</f>
        <v>14.484364215476036</v>
      </c>
      <c r="AJ6" s="5">
        <f>AJ4*AJ10</f>
        <v>15.574442394398657</v>
      </c>
      <c r="AK6" s="5">
        <f>AK4*AK10</f>
        <v>16.721570182426664</v>
      </c>
      <c r="AL6" s="5">
        <f>AL4*AL10</f>
        <v>17.86296233151453</v>
      </c>
      <c r="AM6" s="5">
        <f>SUM(C6:AL6)</f>
        <v>221.52049602860797</v>
      </c>
    </row>
    <row r="7" ht="25" customHeight="1" spans="1:39" x14ac:dyDescent="0.25">
      <c r="A7" s="29" t="s">
        <v>18</v>
      </c>
      <c r="B7" s="29" t="s">
        <v>147</v>
      </c>
      <c r="C7" s="5">
        <f>C4+C5-C6</f>
        <v>170.45</v>
      </c>
      <c r="D7" s="5">
        <f>D4+D5-D6</f>
        <v>180.84775</v>
      </c>
      <c r="E7" s="5">
        <f>E4+E5-E6</f>
        <v>194.94351125</v>
      </c>
      <c r="F7" s="5">
        <f>F4+F5-F6</f>
        <v>208.96879369375</v>
      </c>
      <c r="G7" s="5">
        <f>G4+G5-G6</f>
        <v>226.67394972528126</v>
      </c>
      <c r="H7" s="5">
        <f>H4+H5-H6</f>
        <v>245.54057997665487</v>
      </c>
      <c r="I7" s="5">
        <f>I4+I5-I6</f>
        <v>269.31287707677154</v>
      </c>
      <c r="J7" s="5">
        <f>J4+J5-J6</f>
        <v>305.46631269138766</v>
      </c>
      <c r="K7" s="5">
        <f>K4+K5-K6</f>
        <v>361.43898112793073</v>
      </c>
      <c r="L7" s="5">
        <f>L4+L5-L6</f>
        <v>417.13178622229105</v>
      </c>
      <c r="M7" s="5">
        <f>M4+M5-M6</f>
        <v>472.5461272911796</v>
      </c>
      <c r="N7" s="5">
        <f>N4+N5-N6</f>
        <v>527.6833966547237</v>
      </c>
      <c r="O7" s="5">
        <f>O4+O5-O6</f>
        <v>595.04497967145</v>
      </c>
      <c r="P7" s="5">
        <f>P4+P5-P6</f>
        <v>662.0697547730928</v>
      </c>
      <c r="Q7" s="5">
        <f>Q4+Q5-Q6</f>
        <v>728.7594059992273</v>
      </c>
      <c r="R7" s="5">
        <f>R4+R5-R6</f>
        <v>807.6156089692312</v>
      </c>
      <c r="S7" s="5">
        <f>S4+S5-S6</f>
        <v>886.077530924385</v>
      </c>
      <c r="T7" s="5">
        <f>T4+T5-T6</f>
        <v>964.1471432697631</v>
      </c>
      <c r="U7" s="5">
        <f>U4+U5-U6</f>
        <v>1051.8264075534144</v>
      </c>
      <c r="V7" s="5">
        <f>V4+V5-V6</f>
        <v>1151.5672755156472</v>
      </c>
      <c r="W7" s="5">
        <f>W4+W5-W6</f>
        <v>1250.809439138069</v>
      </c>
      <c r="X7" s="5">
        <f>X4+X5-X6</f>
        <v>1349.5553919423785</v>
      </c>
      <c r="Y7" s="5">
        <f>Y4+Y5-Y6</f>
        <v>1460.3076149826666</v>
      </c>
      <c r="Z7" s="5">
        <f>Z4+Z5-Z6</f>
        <v>1570.5060769077531</v>
      </c>
      <c r="AA7" s="5">
        <f>AA4+AA5-AA6</f>
        <v>1707.6535465232143</v>
      </c>
      <c r="AB7" s="5">
        <f>AB4+AB5-AB6</f>
        <v>1844.1152787905983</v>
      </c>
      <c r="AC7" s="5">
        <f>AC4+AC5-AC6</f>
        <v>1992.3947023966452</v>
      </c>
      <c r="AD7" s="5">
        <f>AD4+AD5-AD6</f>
        <v>2152.432728884662</v>
      </c>
      <c r="AE7" s="5">
        <f>AE4+AE5-AE6</f>
        <v>2311.670565240239</v>
      </c>
      <c r="AF7" s="5">
        <f>AF4+AF5-AF6</f>
        <v>2470.1122124140375</v>
      </c>
      <c r="AG7" s="5">
        <f>AG4+AG5-AG6</f>
        <v>2677.7616513519674</v>
      </c>
      <c r="AH7" s="5">
        <f>AH4+AH5-AH6</f>
        <v>2896.8728430952074</v>
      </c>
      <c r="AI7" s="5">
        <f>AI4+AI5-AI6</f>
        <v>3114.8884788797313</v>
      </c>
      <c r="AJ7" s="5">
        <f>AJ4+AJ5-AJ6</f>
        <v>3344.3140364853325</v>
      </c>
      <c r="AK7" s="5">
        <f>AK4+AK5-AK6</f>
        <v>3572.592466302906</v>
      </c>
      <c r="AL7" s="5">
        <f>AL4+AL5-AL6</f>
        <v>3799.7295039713913</v>
      </c>
      <c r="AM7" s="5">
        <f>AL7</f>
        <v>3799.7295039713913</v>
      </c>
    </row>
    <row r="8" ht="25" customHeight="1" spans="1:39" x14ac:dyDescent="0.25">
      <c r="A8" s="29" t="s">
        <v>148</v>
      </c>
      <c r="B8" s="29" t="s">
        <v>82</v>
      </c>
      <c r="C8" s="6">
        <f>'Assumptions'!B20</f>
        <v>400</v>
      </c>
      <c r="D8" s="6">
        <f>'Assumptions'!B21</f>
        <v>400</v>
      </c>
      <c r="E8" s="6">
        <f>'Assumptions'!B22</f>
        <v>400</v>
      </c>
      <c r="F8" s="6">
        <f>'Assumptions'!B23</f>
        <v>400</v>
      </c>
      <c r="G8" s="6">
        <f>'Assumptions'!B24</f>
        <v>400</v>
      </c>
      <c r="H8" s="6">
        <f>'Assumptions'!B25</f>
        <v>400</v>
      </c>
      <c r="I8" s="6">
        <f>'Assumptions'!B26</f>
        <v>400</v>
      </c>
      <c r="J8" s="6">
        <f>'Assumptions'!B27</f>
        <v>400</v>
      </c>
      <c r="K8" s="6">
        <f>'Assumptions'!B28</f>
        <v>400</v>
      </c>
      <c r="L8" s="6">
        <f>'Assumptions'!B29</f>
        <v>400</v>
      </c>
      <c r="M8" s="6">
        <f>'Assumptions'!B30</f>
        <v>400</v>
      </c>
      <c r="N8" s="6">
        <f>'Assumptions'!B31</f>
        <v>400</v>
      </c>
      <c r="O8" s="6">
        <f>'Assumptions'!B32</f>
        <v>400</v>
      </c>
      <c r="P8" s="6">
        <f>'Assumptions'!B33</f>
        <v>400</v>
      </c>
      <c r="Q8" s="6">
        <f>'Assumptions'!B34</f>
        <v>400</v>
      </c>
      <c r="R8" s="6">
        <f>'Assumptions'!B35</f>
        <v>400</v>
      </c>
      <c r="S8" s="6">
        <f>'Assumptions'!B36</f>
        <v>400</v>
      </c>
      <c r="T8" s="6">
        <f>'Assumptions'!B37</f>
        <v>400</v>
      </c>
      <c r="U8" s="6">
        <f>'Assumptions'!B38</f>
        <v>400</v>
      </c>
      <c r="V8" s="6">
        <f>'Assumptions'!B39</f>
        <v>400</v>
      </c>
      <c r="W8" s="6">
        <f>'Assumptions'!B40</f>
        <v>400</v>
      </c>
      <c r="X8" s="6">
        <f>'Assumptions'!B41</f>
        <v>400</v>
      </c>
      <c r="Y8" s="6">
        <f>'Assumptions'!B42</f>
        <v>400</v>
      </c>
      <c r="Z8" s="6">
        <f>'Assumptions'!B43</f>
        <v>400</v>
      </c>
      <c r="AA8" s="6">
        <f>'Assumptions'!B44</f>
        <v>400</v>
      </c>
      <c r="AB8" s="6">
        <f>'Assumptions'!B45</f>
        <v>400</v>
      </c>
      <c r="AC8" s="6">
        <f>'Assumptions'!B46</f>
        <v>400</v>
      </c>
      <c r="AD8" s="6">
        <f>'Assumptions'!B47</f>
        <v>400</v>
      </c>
      <c r="AE8" s="6">
        <f>'Assumptions'!B48</f>
        <v>400</v>
      </c>
      <c r="AF8" s="6">
        <f>'Assumptions'!B49</f>
        <v>400</v>
      </c>
      <c r="AG8" s="6">
        <f>'Assumptions'!B50</f>
        <v>400</v>
      </c>
      <c r="AH8" s="6">
        <f>'Assumptions'!B51</f>
        <v>400</v>
      </c>
      <c r="AI8" s="6">
        <f>'Assumptions'!B52</f>
        <v>400</v>
      </c>
      <c r="AJ8" s="6">
        <f>'Assumptions'!B53</f>
        <v>400</v>
      </c>
      <c r="AK8" s="6">
        <f>'Assumptions'!B54</f>
        <v>400</v>
      </c>
      <c r="AL8" s="6">
        <f>'Assumptions'!B55</f>
        <v>400</v>
      </c>
      <c r="AM8" s="6">
        <f>AL8</f>
        <v>400</v>
      </c>
    </row>
    <row r="9" ht="25" customHeight="1" spans="1:39" x14ac:dyDescent="0.25">
      <c r="A9" s="29" t="s">
        <v>148</v>
      </c>
      <c r="B9" s="29" t="s">
        <v>83</v>
      </c>
      <c r="C9" s="6">
        <f>'Assumptions'!C20</f>
        <v>68.75</v>
      </c>
      <c r="D9" s="6">
        <f>'Assumptions'!C21</f>
        <v>68.75</v>
      </c>
      <c r="E9" s="6">
        <f>'Assumptions'!C22</f>
        <v>68.75</v>
      </c>
      <c r="F9" s="6">
        <f>'Assumptions'!C23</f>
        <v>68.75</v>
      </c>
      <c r="G9" s="6">
        <f>'Assumptions'!C24</f>
        <v>68.75</v>
      </c>
      <c r="H9" s="6">
        <f>'Assumptions'!C25</f>
        <v>68.75</v>
      </c>
      <c r="I9" s="6">
        <f>'Assumptions'!C26</f>
        <v>68.75</v>
      </c>
      <c r="J9" s="6">
        <f>'Assumptions'!C27</f>
        <v>90</v>
      </c>
      <c r="K9" s="6">
        <f>'Assumptions'!C28</f>
        <v>90</v>
      </c>
      <c r="L9" s="6">
        <f>'Assumptions'!C29</f>
        <v>90</v>
      </c>
      <c r="M9" s="6">
        <f>'Assumptions'!C30</f>
        <v>120</v>
      </c>
      <c r="N9" s="6">
        <f>'Assumptions'!C31</f>
        <v>120</v>
      </c>
      <c r="O9" s="6">
        <f>'Assumptions'!C32</f>
        <v>150</v>
      </c>
      <c r="P9" s="6">
        <f>'Assumptions'!C33</f>
        <v>150</v>
      </c>
      <c r="Q9" s="6">
        <f>'Assumptions'!C34</f>
        <v>150</v>
      </c>
      <c r="R9" s="6">
        <f>'Assumptions'!C35</f>
        <v>180</v>
      </c>
      <c r="S9" s="6">
        <f>'Assumptions'!C36</f>
        <v>180</v>
      </c>
      <c r="T9" s="6">
        <f>'Assumptions'!C37</f>
        <v>200</v>
      </c>
      <c r="U9" s="6">
        <f>'Assumptions'!C38</f>
        <v>200</v>
      </c>
      <c r="V9" s="6">
        <f>'Assumptions'!C39</f>
        <v>250</v>
      </c>
      <c r="W9" s="6">
        <f>'Assumptions'!C40</f>
        <v>250</v>
      </c>
      <c r="X9" s="6">
        <f>'Assumptions'!C41</f>
        <v>250</v>
      </c>
      <c r="Y9" s="6">
        <f>'Assumptions'!C42</f>
        <v>280</v>
      </c>
      <c r="Z9" s="6">
        <f>'Assumptions'!C43</f>
        <v>280</v>
      </c>
      <c r="AA9" s="6">
        <f>'Assumptions'!C44</f>
        <v>280</v>
      </c>
      <c r="AB9" s="6">
        <f>'Assumptions'!C45</f>
        <v>280</v>
      </c>
      <c r="AC9" s="6">
        <f>'Assumptions'!C46</f>
        <v>280</v>
      </c>
      <c r="AD9" s="6">
        <f>'Assumptions'!C47</f>
        <v>280</v>
      </c>
      <c r="AE9" s="6">
        <f>'Assumptions'!C48</f>
        <v>280</v>
      </c>
      <c r="AF9" s="6">
        <f>'Assumptions'!C49</f>
        <v>280</v>
      </c>
      <c r="AG9" s="6">
        <f>'Assumptions'!C50</f>
        <v>280</v>
      </c>
      <c r="AH9" s="6">
        <f>'Assumptions'!C51</f>
        <v>280</v>
      </c>
      <c r="AI9" s="6">
        <f>'Assumptions'!C52</f>
        <v>280</v>
      </c>
      <c r="AJ9" s="6">
        <f>'Assumptions'!C53</f>
        <v>280</v>
      </c>
      <c r="AK9" s="6">
        <f>'Assumptions'!C54</f>
        <v>280</v>
      </c>
      <c r="AL9" s="6">
        <f>'Assumptions'!C55</f>
        <v>280</v>
      </c>
      <c r="AM9" s="6">
        <f>AL9</f>
        <v>280</v>
      </c>
    </row>
    <row r="10" ht="25" customHeight="1" spans="1:39" x14ac:dyDescent="0.25">
      <c r="A10" s="29" t="s">
        <v>148</v>
      </c>
      <c r="B10" s="29" t="s">
        <v>84</v>
      </c>
      <c r="C10" s="18">
        <f>'Assumptions'!D20</f>
        <v>0.005</v>
      </c>
      <c r="D10" s="18">
        <f>'Assumptions'!D21</f>
        <v>0.005</v>
      </c>
      <c r="E10" s="18">
        <f>'Assumptions'!D22</f>
        <v>0.005</v>
      </c>
      <c r="F10" s="18">
        <f>'Assumptions'!D23</f>
        <v>0.005</v>
      </c>
      <c r="G10" s="18">
        <f>'Assumptions'!D24</f>
        <v>0.005</v>
      </c>
      <c r="H10" s="18">
        <f>'Assumptions'!D25</f>
        <v>0.005</v>
      </c>
      <c r="I10" s="18">
        <f>'Assumptions'!D26</f>
        <v>0.005</v>
      </c>
      <c r="J10" s="18">
        <f>'Assumptions'!D27</f>
        <v>0.005</v>
      </c>
      <c r="K10" s="18">
        <f>'Assumptions'!D28</f>
        <v>0.005</v>
      </c>
      <c r="L10" s="18">
        <f>'Assumptions'!D29</f>
        <v>0.005</v>
      </c>
      <c r="M10" s="18">
        <f>'Assumptions'!D30</f>
        <v>0.005</v>
      </c>
      <c r="N10" s="18">
        <f>'Assumptions'!D31</f>
        <v>0.005</v>
      </c>
      <c r="O10" s="18">
        <f>'Assumptions'!D32</f>
        <v>0.005</v>
      </c>
      <c r="P10" s="18">
        <f>'Assumptions'!D33</f>
        <v>0.005</v>
      </c>
      <c r="Q10" s="18">
        <f>'Assumptions'!D34</f>
        <v>0.005</v>
      </c>
      <c r="R10" s="18">
        <f>'Assumptions'!D35</f>
        <v>0.005</v>
      </c>
      <c r="S10" s="18">
        <f>'Assumptions'!D36</f>
        <v>0.005</v>
      </c>
      <c r="T10" s="18">
        <f>'Assumptions'!D37</f>
        <v>0.005</v>
      </c>
      <c r="U10" s="18">
        <f>'Assumptions'!D38</f>
        <v>0.005</v>
      </c>
      <c r="V10" s="18">
        <f>'Assumptions'!D39</f>
        <v>0.005</v>
      </c>
      <c r="W10" s="18">
        <f>'Assumptions'!D40</f>
        <v>0.005</v>
      </c>
      <c r="X10" s="18">
        <f>'Assumptions'!D41</f>
        <v>0.005</v>
      </c>
      <c r="Y10" s="18">
        <f>'Assumptions'!D42</f>
        <v>0.005</v>
      </c>
      <c r="Z10" s="18">
        <f>'Assumptions'!D43</f>
        <v>0.005</v>
      </c>
      <c r="AA10" s="18">
        <f>'Assumptions'!D44</f>
        <v>0.005</v>
      </c>
      <c r="AB10" s="18">
        <f>'Assumptions'!D45</f>
        <v>0.005</v>
      </c>
      <c r="AC10" s="18">
        <f>'Assumptions'!D46</f>
        <v>0.005</v>
      </c>
      <c r="AD10" s="18">
        <f>'Assumptions'!D47</f>
        <v>0.005</v>
      </c>
      <c r="AE10" s="18">
        <f>'Assumptions'!D48</f>
        <v>0.005</v>
      </c>
      <c r="AF10" s="18">
        <f>'Assumptions'!D49</f>
        <v>0.005</v>
      </c>
      <c r="AG10" s="18">
        <f>'Assumptions'!D50</f>
        <v>0.005</v>
      </c>
      <c r="AH10" s="18">
        <f>'Assumptions'!D51</f>
        <v>0.005</v>
      </c>
      <c r="AI10" s="18">
        <f>'Assumptions'!D52</f>
        <v>0.005</v>
      </c>
      <c r="AJ10" s="18">
        <f>'Assumptions'!D53</f>
        <v>0.005</v>
      </c>
      <c r="AK10" s="18">
        <f>'Assumptions'!D54</f>
        <v>0.005</v>
      </c>
      <c r="AL10" s="18">
        <f>'Assumptions'!D55</f>
        <v>0.005</v>
      </c>
      <c r="AM10" s="18">
        <f>AL10</f>
        <v>0.005</v>
      </c>
    </row>
    <row r="11" ht="25" customHeight="1" spans="1:39" x14ac:dyDescent="0.25">
      <c r="A11" s="29" t="s">
        <v>148</v>
      </c>
      <c r="B11" s="29" t="s">
        <v>85</v>
      </c>
      <c r="C11" s="6">
        <f>'Assumptions'!E20</f>
        <v>1500</v>
      </c>
      <c r="D11" s="6">
        <f>'Assumptions'!E21</f>
        <v>1500</v>
      </c>
      <c r="E11" s="6">
        <f>'Assumptions'!E22</f>
        <v>3000</v>
      </c>
      <c r="F11" s="6">
        <f>'Assumptions'!E23</f>
        <v>3000</v>
      </c>
      <c r="G11" s="6">
        <f>'Assumptions'!E24</f>
        <v>4500</v>
      </c>
      <c r="H11" s="6">
        <f>'Assumptions'!E25</f>
        <v>5000</v>
      </c>
      <c r="I11" s="6">
        <f>'Assumptions'!E26</f>
        <v>7000</v>
      </c>
      <c r="J11" s="6">
        <f>'Assumptions'!E27</f>
        <v>12000</v>
      </c>
      <c r="K11" s="6">
        <f>'Assumptions'!E28</f>
        <v>20000</v>
      </c>
      <c r="L11" s="6">
        <f>'Assumptions'!E29</f>
        <v>20000</v>
      </c>
      <c r="M11" s="6">
        <f>'Assumptions'!E30</f>
        <v>20000</v>
      </c>
      <c r="N11" s="6">
        <f>'Assumptions'!E31</f>
        <v>20000</v>
      </c>
      <c r="O11" s="6">
        <f>'Assumptions'!E32</f>
        <v>25000</v>
      </c>
      <c r="P11" s="6">
        <f>'Assumptions'!E33</f>
        <v>25000</v>
      </c>
      <c r="Q11" s="6">
        <f>'Assumptions'!E34</f>
        <v>25000</v>
      </c>
      <c r="R11" s="6">
        <f>'Assumptions'!E35</f>
        <v>30000</v>
      </c>
      <c r="S11" s="6">
        <f>'Assumptions'!E36</f>
        <v>30000</v>
      </c>
      <c r="T11" s="6">
        <f>'Assumptions'!E37</f>
        <v>30000</v>
      </c>
      <c r="U11" s="6">
        <f>'Assumptions'!E38</f>
        <v>30000</v>
      </c>
      <c r="V11" s="6">
        <f>'Assumptions'!E39</f>
        <v>35000</v>
      </c>
      <c r="W11" s="6">
        <f>'Assumptions'!E40</f>
        <v>35000</v>
      </c>
      <c r="X11" s="6">
        <f>'Assumptions'!E41</f>
        <v>35000</v>
      </c>
      <c r="Y11" s="6">
        <f>'Assumptions'!E42</f>
        <v>40000</v>
      </c>
      <c r="Z11" s="6">
        <f>'Assumptions'!E43</f>
        <v>40000</v>
      </c>
      <c r="AA11" s="6">
        <f>'Assumptions'!E44</f>
        <v>50000</v>
      </c>
      <c r="AB11" s="6">
        <f>'Assumptions'!E45</f>
        <v>50000</v>
      </c>
      <c r="AC11" s="6">
        <f>'Assumptions'!E46</f>
        <v>55000</v>
      </c>
      <c r="AD11" s="6">
        <f>'Assumptions'!E47</f>
        <v>60000</v>
      </c>
      <c r="AE11" s="6">
        <f>'Assumptions'!E48</f>
        <v>60000</v>
      </c>
      <c r="AF11" s="6">
        <f>'Assumptions'!E49</f>
        <v>60000</v>
      </c>
      <c r="AG11" s="6">
        <f>'Assumptions'!E50</f>
        <v>80000</v>
      </c>
      <c r="AH11" s="6">
        <f>'Assumptions'!E51</f>
        <v>85000</v>
      </c>
      <c r="AI11" s="6">
        <f>'Assumptions'!E52</f>
        <v>85000</v>
      </c>
      <c r="AJ11" s="6">
        <f>'Assumptions'!E53</f>
        <v>90000</v>
      </c>
      <c r="AK11" s="6">
        <f>'Assumptions'!E54</f>
        <v>90000</v>
      </c>
      <c r="AL11" s="6">
        <f>'Assumptions'!E55</f>
        <v>90000</v>
      </c>
      <c r="AM11" s="6">
        <f>SUM(C11:AL11)</f>
        <v>1352500</v>
      </c>
    </row>
    <row r="12" ht="25" customHeight="1" spans="1:39" x14ac:dyDescent="0.25">
      <c r="A12" s="29" t="s">
        <v>148</v>
      </c>
      <c r="B12" s="29" t="s">
        <v>149</v>
      </c>
      <c r="C12" s="6">
        <f>C11+'Assumptions'!C86+'Assumptions'!C87+'Assumptions'!C97</f>
        <v>4500</v>
      </c>
      <c r="D12" s="6">
        <f>D11+'Assumptions'!D86+'Assumptions'!D87+'Assumptions'!D97</f>
        <v>4500</v>
      </c>
      <c r="E12" s="6">
        <f>E11+'Assumptions'!E86+'Assumptions'!E87+'Assumptions'!E97</f>
        <v>6000</v>
      </c>
      <c r="F12" s="6">
        <f>F11+'Assumptions'!F86+'Assumptions'!F87+'Assumptions'!F97</f>
        <v>6000</v>
      </c>
      <c r="G12" s="6">
        <f>G11+'Assumptions'!G86+'Assumptions'!G87+'Assumptions'!G97</f>
        <v>7500</v>
      </c>
      <c r="H12" s="6">
        <f>H11+'Assumptions'!H86+'Assumptions'!H87+'Assumptions'!H97</f>
        <v>8000</v>
      </c>
      <c r="I12" s="6">
        <f>I11+'Assumptions'!I86+'Assumptions'!I87+'Assumptions'!I97</f>
        <v>10000</v>
      </c>
      <c r="J12" s="6">
        <f>J11+'Assumptions'!J86+'Assumptions'!J87+'Assumptions'!J97</f>
        <v>15000</v>
      </c>
      <c r="K12" s="6">
        <f>K11+'Assumptions'!K86+'Assumptions'!K87+'Assumptions'!K97</f>
        <v>23000</v>
      </c>
      <c r="L12" s="6">
        <f>L11+'Assumptions'!L86+'Assumptions'!L87+'Assumptions'!L97</f>
        <v>23000</v>
      </c>
      <c r="M12" s="6">
        <f>M11+'Assumptions'!M86+'Assumptions'!M87+'Assumptions'!M97</f>
        <v>23000</v>
      </c>
      <c r="N12" s="6">
        <f>N11+'Assumptions'!N86+'Assumptions'!N87+'Assumptions'!N97</f>
        <v>23000</v>
      </c>
      <c r="O12" s="6">
        <f>O11+'Assumptions'!O86+'Assumptions'!O87+'Assumptions'!O97</f>
        <v>28000</v>
      </c>
      <c r="P12" s="6">
        <f>P11+'Assumptions'!P86+'Assumptions'!P87+'Assumptions'!P97</f>
        <v>28000</v>
      </c>
      <c r="Q12" s="6">
        <f>Q11+'Assumptions'!Q86+'Assumptions'!Q87+'Assumptions'!Q97</f>
        <v>28000</v>
      </c>
      <c r="R12" s="6">
        <f>R11+'Assumptions'!R86+'Assumptions'!R87+'Assumptions'!R97</f>
        <v>33000</v>
      </c>
      <c r="S12" s="6">
        <f>S11+'Assumptions'!S86+'Assumptions'!S87+'Assumptions'!S97</f>
        <v>33000</v>
      </c>
      <c r="T12" s="6">
        <f>T11+'Assumptions'!T86+'Assumptions'!T87+'Assumptions'!T97</f>
        <v>33000</v>
      </c>
      <c r="U12" s="6">
        <f>U11+'Assumptions'!U86+'Assumptions'!U87+'Assumptions'!U97</f>
        <v>37000</v>
      </c>
      <c r="V12" s="6">
        <f>V11+'Assumptions'!V86+'Assumptions'!V87+'Assumptions'!V97</f>
        <v>42000</v>
      </c>
      <c r="W12" s="6">
        <f>W11+'Assumptions'!W86+'Assumptions'!W87+'Assumptions'!W97</f>
        <v>42000</v>
      </c>
      <c r="X12" s="6">
        <f>X11+'Assumptions'!X86+'Assumptions'!X87+'Assumptions'!X97</f>
        <v>42000</v>
      </c>
      <c r="Y12" s="6">
        <f>Y11+'Assumptions'!Y86+'Assumptions'!Y87+'Assumptions'!Y97</f>
        <v>47000</v>
      </c>
      <c r="Z12" s="6">
        <f>Z11+'Assumptions'!Z86+'Assumptions'!Z87+'Assumptions'!Z97</f>
        <v>47000</v>
      </c>
      <c r="AA12" s="6">
        <f>AA11+'Assumptions'!AA86+'Assumptions'!AA87+'Assumptions'!AA97</f>
        <v>58000</v>
      </c>
      <c r="AB12" s="6">
        <f>AB11+'Assumptions'!AB86+'Assumptions'!AB87+'Assumptions'!AB97</f>
        <v>58000</v>
      </c>
      <c r="AC12" s="6">
        <f>AC11+'Assumptions'!AC86+'Assumptions'!AC87+'Assumptions'!AC97</f>
        <v>63000</v>
      </c>
      <c r="AD12" s="6">
        <f>AD11+'Assumptions'!AD86+'Assumptions'!AD87+'Assumptions'!AD97</f>
        <v>68000</v>
      </c>
      <c r="AE12" s="6">
        <f>AE11+'Assumptions'!AE86+'Assumptions'!AE87+'Assumptions'!AE97</f>
        <v>68000</v>
      </c>
      <c r="AF12" s="6">
        <f>AF11+'Assumptions'!AF86+'Assumptions'!AF87+'Assumptions'!AF97</f>
        <v>68000</v>
      </c>
      <c r="AG12" s="6">
        <f>AG11+'Assumptions'!AG86+'Assumptions'!AG87+'Assumptions'!AG97</f>
        <v>88000</v>
      </c>
      <c r="AH12" s="6">
        <f>AH11+'Assumptions'!AH86+'Assumptions'!AH87+'Assumptions'!AH97</f>
        <v>93000</v>
      </c>
      <c r="AI12" s="6">
        <f>AI11+'Assumptions'!AI86+'Assumptions'!AI87+'Assumptions'!AI97</f>
        <v>93000</v>
      </c>
      <c r="AJ12" s="6">
        <f>AJ11+'Assumptions'!AJ86+'Assumptions'!AJ87+'Assumptions'!AJ97</f>
        <v>98000</v>
      </c>
      <c r="AK12" s="6">
        <f>AK11+'Assumptions'!AK86+'Assumptions'!AK87+'Assumptions'!AK97</f>
        <v>98000</v>
      </c>
      <c r="AL12" s="6">
        <f>AL11+'Assumptions'!AL86+'Assumptions'!AL87+'Assumptions'!AL97</f>
        <v>98000</v>
      </c>
      <c r="AM12" s="6">
        <f>SUM(C12:AL12)</f>
        <v>1544500</v>
      </c>
    </row>
    <row r="13" ht="25" customHeight="1" spans="1:39" x14ac:dyDescent="0.25">
      <c r="A13" s="30" t="s">
        <v>150</v>
      </c>
      <c r="B13" s="30" t="s">
        <v>19</v>
      </c>
      <c r="C13" s="6">
        <f>C7*C9</f>
        <v>11718.4375</v>
      </c>
      <c r="D13" s="6">
        <f>D7*D9</f>
        <v>12433.2828125</v>
      </c>
      <c r="E13" s="6">
        <f>E7*E9</f>
        <v>13402.3663984375</v>
      </c>
      <c r="F13" s="6">
        <f>F7*F9</f>
        <v>14366.604566445312</v>
      </c>
      <c r="G13" s="6">
        <f>G7*G9</f>
        <v>15583.834043613087</v>
      </c>
      <c r="H13" s="6">
        <f>H7*H9</f>
        <v>16880.91487339502</v>
      </c>
      <c r="I13" s="6">
        <f>I7*I9</f>
        <v>18515.260299028043</v>
      </c>
      <c r="J13" s="6">
        <f>J7*J9</f>
        <v>27491.96814222489</v>
      </c>
      <c r="K13" s="6">
        <f>K7*K9</f>
        <v>32529.508301513764</v>
      </c>
      <c r="L13" s="6">
        <f>L7*L9</f>
        <v>37541.860760006195</v>
      </c>
      <c r="M13" s="6">
        <f>M7*M9</f>
        <v>56705.53527494155</v>
      </c>
      <c r="N13" s="6">
        <f>N7*N9</f>
        <v>63322.00759856684</v>
      </c>
      <c r="O13" s="6">
        <f>O7*O9</f>
        <v>89256.74695071751</v>
      </c>
      <c r="P13" s="6">
        <f>P7*P9</f>
        <v>99310.46321596391</v>
      </c>
      <c r="Q13" s="6">
        <f>Q7*Q9</f>
        <v>109313.9108998841</v>
      </c>
      <c r="R13" s="6">
        <f>R7*R9</f>
        <v>145370.8096144616</v>
      </c>
      <c r="S13" s="6">
        <f>S7*S9</f>
        <v>159493.95556638928</v>
      </c>
      <c r="T13" s="6">
        <f>T7*T9</f>
        <v>192829.4286539526</v>
      </c>
      <c r="U13" s="6">
        <f>U7*U9</f>
        <v>210365.28151068286</v>
      </c>
      <c r="V13" s="6">
        <f>V7*V9</f>
        <v>287891.8188789118</v>
      </c>
      <c r="W13" s="6">
        <f>W7*W9</f>
        <v>312702.3597845172</v>
      </c>
      <c r="X13" s="6">
        <f>X7*X9</f>
        <v>337388.84798559465</v>
      </c>
      <c r="Y13" s="6">
        <f>Y7*Y9</f>
        <v>408886.13219514664</v>
      </c>
      <c r="Z13" s="6">
        <f>Z7*Z9</f>
        <v>439741.7015341709</v>
      </c>
      <c r="AA13" s="6">
        <f>AA7*AA9</f>
        <v>478142.99302650004</v>
      </c>
      <c r="AB13" s="6">
        <f>AB7*AB9</f>
        <v>516352.2780613675</v>
      </c>
      <c r="AC13" s="6">
        <f>AC7*AC9</f>
        <v>557870.5166710607</v>
      </c>
      <c r="AD13" s="6">
        <f>AD7*AD9</f>
        <v>602681.1640877054</v>
      </c>
      <c r="AE13" s="6">
        <f>AE7*AE9</f>
        <v>647267.7582672669</v>
      </c>
      <c r="AF13" s="6">
        <f>AF7*AF9</f>
        <v>691631.4194759305</v>
      </c>
      <c r="AG13" s="6">
        <f>AG7*AG9</f>
        <v>749773.2623785508</v>
      </c>
      <c r="AH13" s="6">
        <f>AH7*AH9</f>
        <v>811124.3960666581</v>
      </c>
      <c r="AI13" s="6">
        <f>AI7*AI9</f>
        <v>872168.7740863247</v>
      </c>
      <c r="AJ13" s="6">
        <f>AJ7*AJ9</f>
        <v>936407.9302158931</v>
      </c>
      <c r="AK13" s="6">
        <f>AK7*AK9</f>
        <v>1000325.8905648136</v>
      </c>
      <c r="AL13" s="6">
        <f>AL7*AL9</f>
        <v>1063924.2611119896</v>
      </c>
      <c r="AM13" s="6">
        <f>AL13</f>
        <v>1063924.2611119896</v>
      </c>
    </row>
    <row r="14" ht="25" customHeight="1" spans="1:39" x14ac:dyDescent="0.25">
      <c r="A14" s="30" t="s">
        <v>150</v>
      </c>
      <c r="B14" s="30" t="s">
        <v>20</v>
      </c>
      <c r="C14" s="6">
        <f>C13*12</f>
        <v>140621.25</v>
      </c>
      <c r="D14" s="6">
        <f>D13*12</f>
        <v>149199.39375</v>
      </c>
      <c r="E14" s="6">
        <f>E13*12</f>
        <v>160828.39678125</v>
      </c>
      <c r="F14" s="6">
        <f>F13*12</f>
        <v>172399.25479734375</v>
      </c>
      <c r="G14" s="6">
        <f>G13*12</f>
        <v>187006.00852335704</v>
      </c>
      <c r="H14" s="6">
        <f>H13*12</f>
        <v>202570.97848074025</v>
      </c>
      <c r="I14" s="6">
        <f>I13*12</f>
        <v>222183.12358833652</v>
      </c>
      <c r="J14" s="6">
        <f>J13*12</f>
        <v>329903.6177066987</v>
      </c>
      <c r="K14" s="6">
        <f>K13*12</f>
        <v>390354.0996181652</v>
      </c>
      <c r="L14" s="6">
        <f>L13*12</f>
        <v>450502.32912007434</v>
      </c>
      <c r="M14" s="6">
        <f>M13*12</f>
        <v>680466.4232992986</v>
      </c>
      <c r="N14" s="6">
        <f>N13*12</f>
        <v>759864.0911828021</v>
      </c>
      <c r="O14" s="6">
        <f>O13*12</f>
        <v>1071080.96340861</v>
      </c>
      <c r="P14" s="6">
        <f>P13*12</f>
        <v>1191725.558591567</v>
      </c>
      <c r="Q14" s="6">
        <f>Q13*12</f>
        <v>1311766.9307986093</v>
      </c>
      <c r="R14" s="6">
        <f>R13*12</f>
        <v>1744449.7153735394</v>
      </c>
      <c r="S14" s="6">
        <f>S13*12</f>
        <v>1913927.4667966715</v>
      </c>
      <c r="T14" s="6">
        <f>T13*12</f>
        <v>2313953.143847431</v>
      </c>
      <c r="U14" s="6">
        <f>U13*12</f>
        <v>2524383.3781281943</v>
      </c>
      <c r="V14" s="6">
        <f>V13*12</f>
        <v>3454701.8265469414</v>
      </c>
      <c r="W14" s="6">
        <f>W13*12</f>
        <v>3752428.3174142065</v>
      </c>
      <c r="X14" s="6">
        <f>X13*12</f>
        <v>4048666.175827136</v>
      </c>
      <c r="Y14" s="6">
        <f>Y13*12</f>
        <v>4906633.586341759</v>
      </c>
      <c r="Z14" s="6">
        <f>Z13*12</f>
        <v>5276900.418410051</v>
      </c>
      <c r="AA14" s="6">
        <f>AA13*12</f>
        <v>5737715.916318</v>
      </c>
      <c r="AB14" s="6">
        <f>AB13*12</f>
        <v>6196227.33673641</v>
      </c>
      <c r="AC14" s="6">
        <f>AC13*12</f>
        <v>6694446.200052729</v>
      </c>
      <c r="AD14" s="6">
        <f>AD13*12</f>
        <v>7232173.969052466</v>
      </c>
      <c r="AE14" s="6">
        <f>AE13*12</f>
        <v>7767213.099207203</v>
      </c>
      <c r="AF14" s="6">
        <f>AF13*12</f>
        <v>8299577.033711166</v>
      </c>
      <c r="AG14" s="6">
        <f>AG13*12</f>
        <v>8997279.148542609</v>
      </c>
      <c r="AH14" s="6">
        <f>AH13*12</f>
        <v>9733492.752799897</v>
      </c>
      <c r="AI14" s="6">
        <f>AI13*12</f>
        <v>10466025.289035898</v>
      </c>
      <c r="AJ14" s="6">
        <f>AJ13*12</f>
        <v>11236895.162590716</v>
      </c>
      <c r="AK14" s="6">
        <f>AK13*12</f>
        <v>12003910.686777763</v>
      </c>
      <c r="AL14" s="6">
        <f>AL13*12</f>
        <v>12767091.133343875</v>
      </c>
      <c r="AM14" s="6">
        <f>AL14</f>
        <v>12767091.133343875</v>
      </c>
    </row>
    <row r="15" ht="28" customHeight="1" spans="1:39" x14ac:dyDescent="0.25">
      <c r="A15" s="31" t="s">
        <v>94</v>
      </c>
      <c r="B15" s="31" t="s">
        <v>151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</row>
    <row r="16" ht="25" customHeight="1" spans="1:39" x14ac:dyDescent="0.25" outlineLevel="1">
      <c r="A16" s="33" t="s">
        <v>94</v>
      </c>
      <c r="B16" s="33" t="s">
        <v>95</v>
      </c>
      <c r="C16" s="6">
        <f>'Assumptions'!C82</f>
        <v>9000</v>
      </c>
      <c r="D16" s="6">
        <f>'Assumptions'!D82</f>
        <v>9000</v>
      </c>
      <c r="E16" s="6">
        <f>'Assumptions'!E82</f>
        <v>9000</v>
      </c>
      <c r="F16" s="6">
        <f>'Assumptions'!F82</f>
        <v>9000</v>
      </c>
      <c r="G16" s="6">
        <f>'Assumptions'!G82</f>
        <v>9000</v>
      </c>
      <c r="H16" s="6">
        <f>'Assumptions'!H82</f>
        <v>9000</v>
      </c>
      <c r="I16" s="6">
        <f>'Assumptions'!I82</f>
        <v>9333</v>
      </c>
      <c r="J16" s="6">
        <f>'Assumptions'!J82</f>
        <v>9333</v>
      </c>
      <c r="K16" s="6">
        <f>'Assumptions'!K82</f>
        <v>9333</v>
      </c>
      <c r="L16" s="6">
        <f>'Assumptions'!L82</f>
        <v>9333</v>
      </c>
      <c r="M16" s="6">
        <f>'Assumptions'!M82</f>
        <v>9333</v>
      </c>
      <c r="N16" s="6">
        <f>'Assumptions'!N82</f>
        <v>9333</v>
      </c>
      <c r="O16" s="6">
        <f>'Assumptions'!O82</f>
        <v>9333</v>
      </c>
      <c r="P16" s="6">
        <f>'Assumptions'!P82</f>
        <v>9333</v>
      </c>
      <c r="Q16" s="6">
        <f>'Assumptions'!Q82</f>
        <v>9333</v>
      </c>
      <c r="R16" s="6">
        <f>'Assumptions'!R82</f>
        <v>9333</v>
      </c>
      <c r="S16" s="6">
        <f>'Assumptions'!S82</f>
        <v>9333</v>
      </c>
      <c r="T16" s="6">
        <f>'Assumptions'!T82</f>
        <v>9333</v>
      </c>
      <c r="U16" s="6">
        <f>'Assumptions'!U82</f>
        <v>12000</v>
      </c>
      <c r="V16" s="6">
        <f>'Assumptions'!V82</f>
        <v>12000</v>
      </c>
      <c r="W16" s="6">
        <f>'Assumptions'!W82</f>
        <v>12000</v>
      </c>
      <c r="X16" s="6">
        <f>'Assumptions'!X82</f>
        <v>12000</v>
      </c>
      <c r="Y16" s="6">
        <f>'Assumptions'!Y82</f>
        <v>12000</v>
      </c>
      <c r="Z16" s="6">
        <f>'Assumptions'!Z82</f>
        <v>12000</v>
      </c>
      <c r="AA16" s="6">
        <f>'Assumptions'!AA82</f>
        <v>12000</v>
      </c>
      <c r="AB16" s="6">
        <f>'Assumptions'!AB82</f>
        <v>12000</v>
      </c>
      <c r="AC16" s="6">
        <f>'Assumptions'!AC82</f>
        <v>12000</v>
      </c>
      <c r="AD16" s="6">
        <f>'Assumptions'!AD82</f>
        <v>12000</v>
      </c>
      <c r="AE16" s="6">
        <f>'Assumptions'!AE82</f>
        <v>12000</v>
      </c>
      <c r="AF16" s="6">
        <f>'Assumptions'!AF82</f>
        <v>12000</v>
      </c>
      <c r="AG16" s="6">
        <f>'Assumptions'!AG82</f>
        <v>14000</v>
      </c>
      <c r="AH16" s="6">
        <f>'Assumptions'!AH82</f>
        <v>14000</v>
      </c>
      <c r="AI16" s="6">
        <f>'Assumptions'!AI82</f>
        <v>14000</v>
      </c>
      <c r="AJ16" s="6">
        <f>'Assumptions'!AJ82</f>
        <v>14000</v>
      </c>
      <c r="AK16" s="6">
        <f>'Assumptions'!AK82</f>
        <v>14000</v>
      </c>
      <c r="AL16" s="6">
        <f>'Assumptions'!AL82</f>
        <v>14000</v>
      </c>
      <c r="AM16" s="6">
        <f>SUM(C16:AL16)</f>
        <v>393996</v>
      </c>
    </row>
    <row r="17" ht="25" customHeight="1" spans="1:39" x14ac:dyDescent="0.25" outlineLevel="1">
      <c r="A17" s="33" t="s">
        <v>94</v>
      </c>
      <c r="B17" s="33" t="s">
        <v>99</v>
      </c>
      <c r="C17" s="6">
        <f>'Assumptions'!C83</f>
        <v>2000</v>
      </c>
      <c r="D17" s="6">
        <f>'Assumptions'!D83</f>
        <v>2000</v>
      </c>
      <c r="E17" s="6">
        <f>'Assumptions'!E83</f>
        <v>2000</v>
      </c>
      <c r="F17" s="6">
        <f>'Assumptions'!F83</f>
        <v>2000</v>
      </c>
      <c r="G17" s="6">
        <f>'Assumptions'!G83</f>
        <v>2000</v>
      </c>
      <c r="H17" s="6">
        <f>'Assumptions'!H83</f>
        <v>2000</v>
      </c>
      <c r="I17" s="6">
        <f>'Assumptions'!I83</f>
        <v>2000</v>
      </c>
      <c r="J17" s="6">
        <f>'Assumptions'!J83</f>
        <v>2000</v>
      </c>
      <c r="K17" s="6">
        <f>'Assumptions'!K83</f>
        <v>2000</v>
      </c>
      <c r="L17" s="6">
        <f>'Assumptions'!L83</f>
        <v>2000</v>
      </c>
      <c r="M17" s="6">
        <f>'Assumptions'!M83</f>
        <v>2000</v>
      </c>
      <c r="N17" s="6">
        <f>'Assumptions'!N83</f>
        <v>2000</v>
      </c>
      <c r="O17" s="6">
        <f>'Assumptions'!O83</f>
        <v>2000</v>
      </c>
      <c r="P17" s="6">
        <f>'Assumptions'!P83</f>
        <v>2000</v>
      </c>
      <c r="Q17" s="6">
        <f>'Assumptions'!Q83</f>
        <v>2000</v>
      </c>
      <c r="R17" s="6">
        <f>'Assumptions'!R83</f>
        <v>2000</v>
      </c>
      <c r="S17" s="6">
        <f>'Assumptions'!S83</f>
        <v>2000</v>
      </c>
      <c r="T17" s="6">
        <f>'Assumptions'!T83</f>
        <v>2000</v>
      </c>
      <c r="U17" s="6">
        <f>'Assumptions'!U83</f>
        <v>2000</v>
      </c>
      <c r="V17" s="6">
        <f>'Assumptions'!V83</f>
        <v>2000</v>
      </c>
      <c r="W17" s="6">
        <f>'Assumptions'!W83</f>
        <v>2000</v>
      </c>
      <c r="X17" s="6">
        <f>'Assumptions'!X83</f>
        <v>2000</v>
      </c>
      <c r="Y17" s="6">
        <f>'Assumptions'!Y83</f>
        <v>2000</v>
      </c>
      <c r="Z17" s="6">
        <f>'Assumptions'!Z83</f>
        <v>2000</v>
      </c>
      <c r="AA17" s="6">
        <f>'Assumptions'!AA83</f>
        <v>2000</v>
      </c>
      <c r="AB17" s="6">
        <f>'Assumptions'!AB83</f>
        <v>2000</v>
      </c>
      <c r="AC17" s="6">
        <f>'Assumptions'!AC83</f>
        <v>2000</v>
      </c>
      <c r="AD17" s="6">
        <f>'Assumptions'!AD83</f>
        <v>2000</v>
      </c>
      <c r="AE17" s="6">
        <f>'Assumptions'!AE83</f>
        <v>2000</v>
      </c>
      <c r="AF17" s="6">
        <f>'Assumptions'!AF83</f>
        <v>2000</v>
      </c>
      <c r="AG17" s="6">
        <f>'Assumptions'!AG83</f>
        <v>2000</v>
      </c>
      <c r="AH17" s="6">
        <f>'Assumptions'!AH83</f>
        <v>2000</v>
      </c>
      <c r="AI17" s="6">
        <f>'Assumptions'!AI83</f>
        <v>2000</v>
      </c>
      <c r="AJ17" s="6">
        <f>'Assumptions'!AJ83</f>
        <v>2000</v>
      </c>
      <c r="AK17" s="6">
        <f>'Assumptions'!AK83</f>
        <v>2000</v>
      </c>
      <c r="AL17" s="6">
        <f>'Assumptions'!AL83</f>
        <v>2000</v>
      </c>
      <c r="AM17" s="6">
        <f>SUM(C17:AL17)</f>
        <v>72000</v>
      </c>
    </row>
    <row r="18" ht="25" customHeight="1" spans="1:39" x14ac:dyDescent="0.25" outlineLevel="1">
      <c r="A18" s="33" t="s">
        <v>94</v>
      </c>
      <c r="B18" s="33" t="s">
        <v>101</v>
      </c>
      <c r="C18" s="6">
        <f>'Assumptions'!C84</f>
        <v>2000</v>
      </c>
      <c r="D18" s="6">
        <f>'Assumptions'!D84</f>
        <v>2000</v>
      </c>
      <c r="E18" s="6">
        <f>'Assumptions'!E84</f>
        <v>2000</v>
      </c>
      <c r="F18" s="6">
        <f>'Assumptions'!F84</f>
        <v>2000</v>
      </c>
      <c r="G18" s="6">
        <f>'Assumptions'!G84</f>
        <v>2000</v>
      </c>
      <c r="H18" s="6">
        <f>'Assumptions'!H84</f>
        <v>2000</v>
      </c>
      <c r="I18" s="6">
        <f>'Assumptions'!I84</f>
        <v>2000</v>
      </c>
      <c r="J18" s="6">
        <f>'Assumptions'!J84</f>
        <v>2000</v>
      </c>
      <c r="K18" s="6">
        <f>'Assumptions'!K84</f>
        <v>2000</v>
      </c>
      <c r="L18" s="6">
        <f>'Assumptions'!L84</f>
        <v>2000</v>
      </c>
      <c r="M18" s="6">
        <f>'Assumptions'!M84</f>
        <v>2000</v>
      </c>
      <c r="N18" s="6">
        <f>'Assumptions'!N84</f>
        <v>2000</v>
      </c>
      <c r="O18" s="6">
        <f>'Assumptions'!O84</f>
        <v>2000</v>
      </c>
      <c r="P18" s="6">
        <f>'Assumptions'!P84</f>
        <v>2000</v>
      </c>
      <c r="Q18" s="6">
        <f>'Assumptions'!Q84</f>
        <v>2000</v>
      </c>
      <c r="R18" s="6">
        <f>'Assumptions'!R84</f>
        <v>2000</v>
      </c>
      <c r="S18" s="6">
        <f>'Assumptions'!S84</f>
        <v>2000</v>
      </c>
      <c r="T18" s="6">
        <f>'Assumptions'!T84</f>
        <v>2000</v>
      </c>
      <c r="U18" s="6">
        <f>'Assumptions'!U84</f>
        <v>2000</v>
      </c>
      <c r="V18" s="6">
        <f>'Assumptions'!V84</f>
        <v>2000</v>
      </c>
      <c r="W18" s="6">
        <f>'Assumptions'!W84</f>
        <v>2000</v>
      </c>
      <c r="X18" s="6">
        <f>'Assumptions'!X84</f>
        <v>2000</v>
      </c>
      <c r="Y18" s="6">
        <f>'Assumptions'!Y84</f>
        <v>2000</v>
      </c>
      <c r="Z18" s="6">
        <f>'Assumptions'!Z84</f>
        <v>2000</v>
      </c>
      <c r="AA18" s="6">
        <f>'Assumptions'!AA84</f>
        <v>2000</v>
      </c>
      <c r="AB18" s="6">
        <f>'Assumptions'!AB84</f>
        <v>2000</v>
      </c>
      <c r="AC18" s="6">
        <f>'Assumptions'!AC84</f>
        <v>2000</v>
      </c>
      <c r="AD18" s="6">
        <f>'Assumptions'!AD84</f>
        <v>2000</v>
      </c>
      <c r="AE18" s="6">
        <f>'Assumptions'!AE84</f>
        <v>2000</v>
      </c>
      <c r="AF18" s="6">
        <f>'Assumptions'!AF84</f>
        <v>2000</v>
      </c>
      <c r="AG18" s="6">
        <f>'Assumptions'!AG84</f>
        <v>2000</v>
      </c>
      <c r="AH18" s="6">
        <f>'Assumptions'!AH84</f>
        <v>2000</v>
      </c>
      <c r="AI18" s="6">
        <f>'Assumptions'!AI84</f>
        <v>2000</v>
      </c>
      <c r="AJ18" s="6">
        <f>'Assumptions'!AJ84</f>
        <v>2000</v>
      </c>
      <c r="AK18" s="6">
        <f>'Assumptions'!AK84</f>
        <v>2000</v>
      </c>
      <c r="AL18" s="6">
        <f>'Assumptions'!AL84</f>
        <v>2000</v>
      </c>
      <c r="AM18" s="6">
        <f>SUM(C18:AL18)</f>
        <v>72000</v>
      </c>
    </row>
    <row r="19" ht="28" customHeight="1" spans="1:39" x14ac:dyDescent="0.25">
      <c r="A19" s="31" t="s">
        <v>103</v>
      </c>
      <c r="B19" s="31" t="s">
        <v>151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</row>
    <row r="20" ht="25" customHeight="1" spans="1:39" x14ac:dyDescent="0.25" outlineLevel="1">
      <c r="A20" s="33" t="s">
        <v>103</v>
      </c>
      <c r="B20" s="33" t="s">
        <v>104</v>
      </c>
      <c r="C20" s="6">
        <f>C11</f>
        <v>1500</v>
      </c>
      <c r="D20" s="6">
        <f>D11</f>
        <v>1500</v>
      </c>
      <c r="E20" s="6">
        <f>E11</f>
        <v>3000</v>
      </c>
      <c r="F20" s="6">
        <f>F11</f>
        <v>3000</v>
      </c>
      <c r="G20" s="6">
        <f>G11</f>
        <v>4500</v>
      </c>
      <c r="H20" s="6">
        <f>H11</f>
        <v>5000</v>
      </c>
      <c r="I20" s="6">
        <f>I11</f>
        <v>7000</v>
      </c>
      <c r="J20" s="6">
        <f>J11</f>
        <v>12000</v>
      </c>
      <c r="K20" s="6">
        <f>K11</f>
        <v>20000</v>
      </c>
      <c r="L20" s="6">
        <f>L11</f>
        <v>20000</v>
      </c>
      <c r="M20" s="6">
        <f>M11</f>
        <v>20000</v>
      </c>
      <c r="N20" s="6">
        <f>N11</f>
        <v>20000</v>
      </c>
      <c r="O20" s="6">
        <f>O11</f>
        <v>25000</v>
      </c>
      <c r="P20" s="6">
        <f>P11</f>
        <v>25000</v>
      </c>
      <c r="Q20" s="6">
        <f>Q11</f>
        <v>25000</v>
      </c>
      <c r="R20" s="6">
        <f>R11</f>
        <v>30000</v>
      </c>
      <c r="S20" s="6">
        <f>S11</f>
        <v>30000</v>
      </c>
      <c r="T20" s="6">
        <f>T11</f>
        <v>30000</v>
      </c>
      <c r="U20" s="6">
        <f>U11</f>
        <v>30000</v>
      </c>
      <c r="V20" s="6">
        <f>V11</f>
        <v>35000</v>
      </c>
      <c r="W20" s="6">
        <f>W11</f>
        <v>35000</v>
      </c>
      <c r="X20" s="6">
        <f>X11</f>
        <v>35000</v>
      </c>
      <c r="Y20" s="6">
        <f>Y11</f>
        <v>40000</v>
      </c>
      <c r="Z20" s="6">
        <f>Z11</f>
        <v>40000</v>
      </c>
      <c r="AA20" s="6">
        <f>AA11</f>
        <v>50000</v>
      </c>
      <c r="AB20" s="6">
        <f>AB11</f>
        <v>50000</v>
      </c>
      <c r="AC20" s="6">
        <f>AC11</f>
        <v>55000</v>
      </c>
      <c r="AD20" s="6">
        <f>AD11</f>
        <v>60000</v>
      </c>
      <c r="AE20" s="6">
        <f>AE11</f>
        <v>60000</v>
      </c>
      <c r="AF20" s="6">
        <f>AF11</f>
        <v>60000</v>
      </c>
      <c r="AG20" s="6">
        <f>AG11</f>
        <v>80000</v>
      </c>
      <c r="AH20" s="6">
        <f>AH11</f>
        <v>85000</v>
      </c>
      <c r="AI20" s="6">
        <f>AI11</f>
        <v>85000</v>
      </c>
      <c r="AJ20" s="6">
        <f>AJ11</f>
        <v>90000</v>
      </c>
      <c r="AK20" s="6">
        <f>AK11</f>
        <v>90000</v>
      </c>
      <c r="AL20" s="6">
        <f>AL11</f>
        <v>90000</v>
      </c>
      <c r="AM20" s="6">
        <f>SUM(C20:AL20)</f>
        <v>1352500</v>
      </c>
    </row>
    <row r="21" ht="25" customHeight="1" spans="1:39" x14ac:dyDescent="0.25" outlineLevel="1">
      <c r="A21" s="33" t="s">
        <v>103</v>
      </c>
      <c r="B21" s="33" t="s">
        <v>108</v>
      </c>
      <c r="C21" s="6">
        <f>'Assumptions'!C86</f>
        <v>1500</v>
      </c>
      <c r="D21" s="6">
        <f>'Assumptions'!D86</f>
        <v>1500</v>
      </c>
      <c r="E21" s="6">
        <f>'Assumptions'!E86</f>
        <v>1500</v>
      </c>
      <c r="F21" s="6">
        <f>'Assumptions'!F86</f>
        <v>1500</v>
      </c>
      <c r="G21" s="6">
        <f>'Assumptions'!G86</f>
        <v>1500</v>
      </c>
      <c r="H21" s="6">
        <f>'Assumptions'!H86</f>
        <v>1500</v>
      </c>
      <c r="I21" s="6">
        <f>'Assumptions'!I86</f>
        <v>1500</v>
      </c>
      <c r="J21" s="6">
        <f>'Assumptions'!J86</f>
        <v>1500</v>
      </c>
      <c r="K21" s="6">
        <f>'Assumptions'!K86</f>
        <v>1500</v>
      </c>
      <c r="L21" s="6">
        <f>'Assumptions'!L86</f>
        <v>1500</v>
      </c>
      <c r="M21" s="6">
        <f>'Assumptions'!M86</f>
        <v>1500</v>
      </c>
      <c r="N21" s="6">
        <f>'Assumptions'!N86</f>
        <v>1500</v>
      </c>
      <c r="O21" s="6">
        <f>'Assumptions'!O86</f>
        <v>1500</v>
      </c>
      <c r="P21" s="6">
        <f>'Assumptions'!P86</f>
        <v>1500</v>
      </c>
      <c r="Q21" s="6">
        <f>'Assumptions'!Q86</f>
        <v>1500</v>
      </c>
      <c r="R21" s="6">
        <f>'Assumptions'!R86</f>
        <v>1500</v>
      </c>
      <c r="S21" s="6">
        <f>'Assumptions'!S86</f>
        <v>1500</v>
      </c>
      <c r="T21" s="6">
        <f>'Assumptions'!T86</f>
        <v>1500</v>
      </c>
      <c r="U21" s="6">
        <f>'Assumptions'!U86</f>
        <v>1500</v>
      </c>
      <c r="V21" s="6">
        <f>'Assumptions'!V86</f>
        <v>1500</v>
      </c>
      <c r="W21" s="6">
        <f>'Assumptions'!W86</f>
        <v>1500</v>
      </c>
      <c r="X21" s="6">
        <f>'Assumptions'!X86</f>
        <v>1500</v>
      </c>
      <c r="Y21" s="6">
        <f>'Assumptions'!Y86</f>
        <v>1500</v>
      </c>
      <c r="Z21" s="6">
        <f>'Assumptions'!Z86</f>
        <v>1500</v>
      </c>
      <c r="AA21" s="6">
        <f>'Assumptions'!AA86</f>
        <v>2500</v>
      </c>
      <c r="AB21" s="6">
        <f>'Assumptions'!AB86</f>
        <v>2500</v>
      </c>
      <c r="AC21" s="6">
        <f>'Assumptions'!AC86</f>
        <v>2500</v>
      </c>
      <c r="AD21" s="6">
        <f>'Assumptions'!AD86</f>
        <v>2500</v>
      </c>
      <c r="AE21" s="6">
        <f>'Assumptions'!AE86</f>
        <v>2500</v>
      </c>
      <c r="AF21" s="6">
        <f>'Assumptions'!AF86</f>
        <v>2500</v>
      </c>
      <c r="AG21" s="6">
        <f>'Assumptions'!AG86</f>
        <v>2500</v>
      </c>
      <c r="AH21" s="6">
        <f>'Assumptions'!AH86</f>
        <v>2500</v>
      </c>
      <c r="AI21" s="6">
        <f>'Assumptions'!AI86</f>
        <v>2500</v>
      </c>
      <c r="AJ21" s="6">
        <f>'Assumptions'!AJ86</f>
        <v>2500</v>
      </c>
      <c r="AK21" s="6">
        <f>'Assumptions'!AK86</f>
        <v>2500</v>
      </c>
      <c r="AL21" s="6">
        <f>'Assumptions'!AL86</f>
        <v>2500</v>
      </c>
      <c r="AM21" s="6">
        <f>SUM(C21:AL21)</f>
        <v>66000</v>
      </c>
    </row>
    <row r="22" ht="25" customHeight="1" spans="1:39" x14ac:dyDescent="0.25" outlineLevel="1">
      <c r="A22" s="33" t="s">
        <v>103</v>
      </c>
      <c r="B22" s="33" t="s">
        <v>110</v>
      </c>
      <c r="C22" s="6">
        <f>'Assumptions'!C87</f>
        <v>1500</v>
      </c>
      <c r="D22" s="6">
        <f>'Assumptions'!D87</f>
        <v>1500</v>
      </c>
      <c r="E22" s="6">
        <f>'Assumptions'!E87</f>
        <v>1500</v>
      </c>
      <c r="F22" s="6">
        <f>'Assumptions'!F87</f>
        <v>1500</v>
      </c>
      <c r="G22" s="6">
        <f>'Assumptions'!G87</f>
        <v>1500</v>
      </c>
      <c r="H22" s="6">
        <f>'Assumptions'!H87</f>
        <v>1500</v>
      </c>
      <c r="I22" s="6">
        <f>'Assumptions'!I87</f>
        <v>1500</v>
      </c>
      <c r="J22" s="6">
        <f>'Assumptions'!J87</f>
        <v>1500</v>
      </c>
      <c r="K22" s="6">
        <f>'Assumptions'!K87</f>
        <v>1500</v>
      </c>
      <c r="L22" s="6">
        <f>'Assumptions'!L87</f>
        <v>1500</v>
      </c>
      <c r="M22" s="6">
        <f>'Assumptions'!M87</f>
        <v>1500</v>
      </c>
      <c r="N22" s="6">
        <f>'Assumptions'!N87</f>
        <v>1500</v>
      </c>
      <c r="O22" s="6">
        <f>'Assumptions'!O87</f>
        <v>1500</v>
      </c>
      <c r="P22" s="6">
        <f>'Assumptions'!P87</f>
        <v>1500</v>
      </c>
      <c r="Q22" s="6">
        <f>'Assumptions'!Q87</f>
        <v>1500</v>
      </c>
      <c r="R22" s="6">
        <f>'Assumptions'!R87</f>
        <v>1500</v>
      </c>
      <c r="S22" s="6">
        <f>'Assumptions'!S87</f>
        <v>1500</v>
      </c>
      <c r="T22" s="6">
        <f>'Assumptions'!T87</f>
        <v>1500</v>
      </c>
      <c r="U22" s="6">
        <f>'Assumptions'!U87</f>
        <v>1500</v>
      </c>
      <c r="V22" s="6">
        <f>'Assumptions'!V87</f>
        <v>1500</v>
      </c>
      <c r="W22" s="6">
        <f>'Assumptions'!W87</f>
        <v>1500</v>
      </c>
      <c r="X22" s="6">
        <f>'Assumptions'!X87</f>
        <v>1500</v>
      </c>
      <c r="Y22" s="6">
        <f>'Assumptions'!Y87</f>
        <v>1500</v>
      </c>
      <c r="Z22" s="6">
        <f>'Assumptions'!Z87</f>
        <v>1500</v>
      </c>
      <c r="AA22" s="6">
        <f>'Assumptions'!AA87</f>
        <v>1500</v>
      </c>
      <c r="AB22" s="6">
        <f>'Assumptions'!AB87</f>
        <v>1500</v>
      </c>
      <c r="AC22" s="6">
        <f>'Assumptions'!AC87</f>
        <v>1500</v>
      </c>
      <c r="AD22" s="6">
        <f>'Assumptions'!AD87</f>
        <v>1500</v>
      </c>
      <c r="AE22" s="6">
        <f>'Assumptions'!AE87</f>
        <v>1500</v>
      </c>
      <c r="AF22" s="6">
        <f>'Assumptions'!AF87</f>
        <v>1500</v>
      </c>
      <c r="AG22" s="6">
        <f>'Assumptions'!AG87</f>
        <v>1500</v>
      </c>
      <c r="AH22" s="6">
        <f>'Assumptions'!AH87</f>
        <v>1500</v>
      </c>
      <c r="AI22" s="6">
        <f>'Assumptions'!AI87</f>
        <v>1500</v>
      </c>
      <c r="AJ22" s="6">
        <f>'Assumptions'!AJ87</f>
        <v>1500</v>
      </c>
      <c r="AK22" s="6">
        <f>'Assumptions'!AK87</f>
        <v>1500</v>
      </c>
      <c r="AL22" s="6">
        <f>'Assumptions'!AL87</f>
        <v>1500</v>
      </c>
      <c r="AM22" s="6">
        <f>SUM(C22:AL22)</f>
        <v>54000</v>
      </c>
    </row>
    <row r="23" ht="25" customHeight="1" spans="1:39" x14ac:dyDescent="0.25" outlineLevel="1">
      <c r="A23" s="33" t="s">
        <v>103</v>
      </c>
      <c r="B23" s="33" t="s">
        <v>112</v>
      </c>
      <c r="C23" s="6">
        <f>C5*'Assumptions'!C88</f>
        <v>787.5</v>
      </c>
      <c r="D23" s="6">
        <f>D5*'Assumptions'!D88</f>
        <v>787.5</v>
      </c>
      <c r="E23" s="6">
        <f>E5*'Assumptions'!E88</f>
        <v>1050</v>
      </c>
      <c r="F23" s="6">
        <f>F5*'Assumptions'!F88</f>
        <v>1050</v>
      </c>
      <c r="G23" s="6">
        <f>G5*'Assumptions'!G88</f>
        <v>1312.5</v>
      </c>
      <c r="H23" s="6">
        <f>H5*'Assumptions'!H88</f>
        <v>1400</v>
      </c>
      <c r="I23" s="6">
        <f>I5*'Assumptions'!I88</f>
        <v>1750</v>
      </c>
      <c r="J23" s="6">
        <f>J5*'Assumptions'!J88</f>
        <v>2625</v>
      </c>
      <c r="K23" s="6">
        <f>K5*'Assumptions'!K88</f>
        <v>4025</v>
      </c>
      <c r="L23" s="6">
        <f>L5*'Assumptions'!L88</f>
        <v>4025</v>
      </c>
      <c r="M23" s="6">
        <f>M5*'Assumptions'!M88</f>
        <v>4025</v>
      </c>
      <c r="N23" s="6">
        <f>N5*'Assumptions'!N88</f>
        <v>4025</v>
      </c>
      <c r="O23" s="6">
        <f>O5*'Assumptions'!O88</f>
        <v>4900</v>
      </c>
      <c r="P23" s="6">
        <f>P5*'Assumptions'!P88</f>
        <v>4900</v>
      </c>
      <c r="Q23" s="6">
        <f>Q5*'Assumptions'!Q88</f>
        <v>4900</v>
      </c>
      <c r="R23" s="6">
        <f>R5*'Assumptions'!R88</f>
        <v>5775</v>
      </c>
      <c r="S23" s="6">
        <f>S5*'Assumptions'!S88</f>
        <v>5775</v>
      </c>
      <c r="T23" s="6">
        <f>T5*'Assumptions'!T88</f>
        <v>5775</v>
      </c>
      <c r="U23" s="6">
        <f>U5*'Assumptions'!U88</f>
        <v>6475</v>
      </c>
      <c r="V23" s="6">
        <f>V5*'Assumptions'!V88</f>
        <v>7350</v>
      </c>
      <c r="W23" s="6">
        <f>W5*'Assumptions'!W88</f>
        <v>7350</v>
      </c>
      <c r="X23" s="6">
        <f>X5*'Assumptions'!X88</f>
        <v>7350</v>
      </c>
      <c r="Y23" s="6">
        <f>Y5*'Assumptions'!Y88</f>
        <v>8225</v>
      </c>
      <c r="Z23" s="6">
        <f>Z5*'Assumptions'!Z88</f>
        <v>8225</v>
      </c>
      <c r="AA23" s="6">
        <f>AA5*'Assumptions'!AA88</f>
        <v>10150</v>
      </c>
      <c r="AB23" s="6">
        <f>AB5*'Assumptions'!AB88</f>
        <v>10150</v>
      </c>
      <c r="AC23" s="6">
        <f>AC5*'Assumptions'!AC88</f>
        <v>11025</v>
      </c>
      <c r="AD23" s="6">
        <f>AD5*'Assumptions'!AD88</f>
        <v>11900</v>
      </c>
      <c r="AE23" s="6">
        <f>AE5*'Assumptions'!AE88</f>
        <v>11900</v>
      </c>
      <c r="AF23" s="6">
        <f>AF5*'Assumptions'!AF88</f>
        <v>11900</v>
      </c>
      <c r="AG23" s="6">
        <f>AG5*'Assumptions'!AG88</f>
        <v>15400</v>
      </c>
      <c r="AH23" s="6">
        <f>AH5*'Assumptions'!AH88</f>
        <v>16275</v>
      </c>
      <c r="AI23" s="6">
        <f>AI5*'Assumptions'!AI88</f>
        <v>16275</v>
      </c>
      <c r="AJ23" s="6">
        <f>AJ5*'Assumptions'!AJ88</f>
        <v>17150</v>
      </c>
      <c r="AK23" s="6">
        <f>AK5*'Assumptions'!AK88</f>
        <v>17150</v>
      </c>
      <c r="AL23" s="6">
        <f>AL5*'Assumptions'!AL88</f>
        <v>17150</v>
      </c>
      <c r="AM23" s="6">
        <f>SUM(C23:AL23)</f>
        <v>270287.5</v>
      </c>
    </row>
    <row r="24" ht="25" customHeight="1" spans="1:39" x14ac:dyDescent="0.25" outlineLevel="1">
      <c r="A24" s="33" t="s">
        <v>103</v>
      </c>
      <c r="B24" s="33" t="s">
        <v>137</v>
      </c>
      <c r="C24" s="6">
        <f>'Assumptions'!C97</f>
        <v>0</v>
      </c>
      <c r="D24" s="6">
        <f>'Assumptions'!D97</f>
        <v>0</v>
      </c>
      <c r="E24" s="6">
        <f>'Assumptions'!E97</f>
        <v>0</v>
      </c>
      <c r="F24" s="6">
        <f>'Assumptions'!F97</f>
        <v>0</v>
      </c>
      <c r="G24" s="6">
        <f>'Assumptions'!G97</f>
        <v>0</v>
      </c>
      <c r="H24" s="6">
        <f>'Assumptions'!H97</f>
        <v>0</v>
      </c>
      <c r="I24" s="6">
        <f>'Assumptions'!I97</f>
        <v>0</v>
      </c>
      <c r="J24" s="6">
        <f>'Assumptions'!J97</f>
        <v>0</v>
      </c>
      <c r="K24" s="6">
        <f>'Assumptions'!K97</f>
        <v>0</v>
      </c>
      <c r="L24" s="6">
        <f>'Assumptions'!L97</f>
        <v>0</v>
      </c>
      <c r="M24" s="6">
        <f>'Assumptions'!M97</f>
        <v>0</v>
      </c>
      <c r="N24" s="6">
        <f>'Assumptions'!N97</f>
        <v>0</v>
      </c>
      <c r="O24" s="6">
        <f>'Assumptions'!O97</f>
        <v>0</v>
      </c>
      <c r="P24" s="6">
        <f>'Assumptions'!P97</f>
        <v>0</v>
      </c>
      <c r="Q24" s="6">
        <f>'Assumptions'!Q97</f>
        <v>0</v>
      </c>
      <c r="R24" s="6">
        <f>'Assumptions'!R97</f>
        <v>0</v>
      </c>
      <c r="S24" s="6">
        <f>'Assumptions'!S97</f>
        <v>0</v>
      </c>
      <c r="T24" s="6">
        <f>'Assumptions'!T97</f>
        <v>0</v>
      </c>
      <c r="U24" s="6">
        <f>'Assumptions'!U97</f>
        <v>4000</v>
      </c>
      <c r="V24" s="6">
        <f>'Assumptions'!V97</f>
        <v>4000</v>
      </c>
      <c r="W24" s="6">
        <f>'Assumptions'!W97</f>
        <v>4000</v>
      </c>
      <c r="X24" s="6">
        <f>'Assumptions'!X97</f>
        <v>4000</v>
      </c>
      <c r="Y24" s="6">
        <f>'Assumptions'!Y97</f>
        <v>4000</v>
      </c>
      <c r="Z24" s="6">
        <f>'Assumptions'!Z97</f>
        <v>4000</v>
      </c>
      <c r="AA24" s="6">
        <f>'Assumptions'!AA97</f>
        <v>4000</v>
      </c>
      <c r="AB24" s="6">
        <f>'Assumptions'!AB97</f>
        <v>4000</v>
      </c>
      <c r="AC24" s="6">
        <f>'Assumptions'!AC97</f>
        <v>4000</v>
      </c>
      <c r="AD24" s="6">
        <f>'Assumptions'!AD97</f>
        <v>4000</v>
      </c>
      <c r="AE24" s="6">
        <f>'Assumptions'!AE97</f>
        <v>4000</v>
      </c>
      <c r="AF24" s="6">
        <f>'Assumptions'!AF97</f>
        <v>4000</v>
      </c>
      <c r="AG24" s="6">
        <f>'Assumptions'!AG97</f>
        <v>4000</v>
      </c>
      <c r="AH24" s="6">
        <f>'Assumptions'!AH97</f>
        <v>4000</v>
      </c>
      <c r="AI24" s="6">
        <f>'Assumptions'!AI97</f>
        <v>4000</v>
      </c>
      <c r="AJ24" s="6">
        <f>'Assumptions'!AJ97</f>
        <v>4000</v>
      </c>
      <c r="AK24" s="6">
        <f>'Assumptions'!AK97</f>
        <v>4000</v>
      </c>
      <c r="AL24" s="6">
        <f>'Assumptions'!AL97</f>
        <v>4000</v>
      </c>
      <c r="AM24" s="6">
        <f>SUM(C24:AL24)</f>
        <v>72000</v>
      </c>
    </row>
    <row r="25" ht="28" customHeight="1" spans="1:39" x14ac:dyDescent="0.25">
      <c r="A25" s="31" t="s">
        <v>116</v>
      </c>
      <c r="B25" s="31" t="s">
        <v>151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</row>
    <row r="26" ht="25" customHeight="1" spans="1:39" x14ac:dyDescent="0.25" outlineLevel="1">
      <c r="A26" s="33" t="s">
        <v>116</v>
      </c>
      <c r="B26" s="33" t="s">
        <v>117</v>
      </c>
      <c r="C26" s="6">
        <f>'Assumptions'!C89</f>
        <v>4000</v>
      </c>
      <c r="D26" s="6">
        <f>'Assumptions'!D89</f>
        <v>4000</v>
      </c>
      <c r="E26" s="6">
        <f>'Assumptions'!E89</f>
        <v>4000</v>
      </c>
      <c r="F26" s="6">
        <f>'Assumptions'!F89</f>
        <v>4000</v>
      </c>
      <c r="G26" s="6">
        <f>'Assumptions'!G89</f>
        <v>4000</v>
      </c>
      <c r="H26" s="6">
        <f>'Assumptions'!H89</f>
        <v>4000</v>
      </c>
      <c r="I26" s="6">
        <f>'Assumptions'!I89</f>
        <v>4000</v>
      </c>
      <c r="J26" s="6">
        <f>'Assumptions'!J89</f>
        <v>4000</v>
      </c>
      <c r="K26" s="6">
        <f>'Assumptions'!K89</f>
        <v>4000</v>
      </c>
      <c r="L26" s="6">
        <f>'Assumptions'!L89</f>
        <v>4000</v>
      </c>
      <c r="M26" s="6">
        <f>'Assumptions'!M89</f>
        <v>4000</v>
      </c>
      <c r="N26" s="6">
        <f>'Assumptions'!N89</f>
        <v>4000</v>
      </c>
      <c r="O26" s="6">
        <f>'Assumptions'!O89</f>
        <v>4000</v>
      </c>
      <c r="P26" s="6">
        <f>'Assumptions'!P89</f>
        <v>4000</v>
      </c>
      <c r="Q26" s="6">
        <f>'Assumptions'!Q89</f>
        <v>4000</v>
      </c>
      <c r="R26" s="6">
        <f>'Assumptions'!R89</f>
        <v>4000</v>
      </c>
      <c r="S26" s="6">
        <f>'Assumptions'!S89</f>
        <v>4000</v>
      </c>
      <c r="T26" s="6">
        <f>'Assumptions'!T89</f>
        <v>4000</v>
      </c>
      <c r="U26" s="6">
        <f>'Assumptions'!U89</f>
        <v>4000</v>
      </c>
      <c r="V26" s="6">
        <f>'Assumptions'!V89</f>
        <v>4000</v>
      </c>
      <c r="W26" s="6">
        <f>'Assumptions'!W89</f>
        <v>4000</v>
      </c>
      <c r="X26" s="6">
        <f>'Assumptions'!X89</f>
        <v>4000</v>
      </c>
      <c r="Y26" s="6">
        <f>'Assumptions'!Y89</f>
        <v>4000</v>
      </c>
      <c r="Z26" s="6">
        <f>'Assumptions'!Z89</f>
        <v>4000</v>
      </c>
      <c r="AA26" s="6">
        <f>'Assumptions'!AA89</f>
        <v>5000</v>
      </c>
      <c r="AB26" s="6">
        <f>'Assumptions'!AB89</f>
        <v>5000</v>
      </c>
      <c r="AC26" s="6">
        <f>'Assumptions'!AC89</f>
        <v>5000</v>
      </c>
      <c r="AD26" s="6">
        <f>'Assumptions'!AD89</f>
        <v>5000</v>
      </c>
      <c r="AE26" s="6">
        <f>'Assumptions'!AE89</f>
        <v>5000</v>
      </c>
      <c r="AF26" s="6">
        <f>'Assumptions'!AF89</f>
        <v>5000</v>
      </c>
      <c r="AG26" s="6">
        <f>'Assumptions'!AG89</f>
        <v>5000</v>
      </c>
      <c r="AH26" s="6">
        <f>'Assumptions'!AH89</f>
        <v>5000</v>
      </c>
      <c r="AI26" s="6">
        <f>'Assumptions'!AI89</f>
        <v>5000</v>
      </c>
      <c r="AJ26" s="6">
        <f>'Assumptions'!AJ89</f>
        <v>5000</v>
      </c>
      <c r="AK26" s="6">
        <f>'Assumptions'!AK89</f>
        <v>5000</v>
      </c>
      <c r="AL26" s="6">
        <f>'Assumptions'!AL89</f>
        <v>5000</v>
      </c>
      <c r="AM26" s="6">
        <f>SUM(C26:AL26)</f>
        <v>156000</v>
      </c>
    </row>
    <row r="27" ht="25" customHeight="1" spans="1:39" x14ac:dyDescent="0.25" outlineLevel="1">
      <c r="A27" s="33" t="s">
        <v>116</v>
      </c>
      <c r="B27" s="33" t="s">
        <v>119</v>
      </c>
      <c r="C27" s="6">
        <f>'Assumptions'!C90</f>
        <v>3333</v>
      </c>
      <c r="D27" s="6">
        <f>'Assumptions'!D90</f>
        <v>3333</v>
      </c>
      <c r="E27" s="6">
        <f>'Assumptions'!E90</f>
        <v>3333</v>
      </c>
      <c r="F27" s="6">
        <f>'Assumptions'!F90</f>
        <v>3333</v>
      </c>
      <c r="G27" s="6">
        <f>'Assumptions'!G90</f>
        <v>3333</v>
      </c>
      <c r="H27" s="6">
        <f>'Assumptions'!H90</f>
        <v>3333</v>
      </c>
      <c r="I27" s="6">
        <f>'Assumptions'!I90</f>
        <v>3333</v>
      </c>
      <c r="J27" s="6">
        <f>'Assumptions'!J90</f>
        <v>3333</v>
      </c>
      <c r="K27" s="6">
        <f>'Assumptions'!K90</f>
        <v>3333</v>
      </c>
      <c r="L27" s="6">
        <f>'Assumptions'!L90</f>
        <v>3333</v>
      </c>
      <c r="M27" s="6">
        <f>'Assumptions'!M90</f>
        <v>3333</v>
      </c>
      <c r="N27" s="6">
        <f>'Assumptions'!N90</f>
        <v>3333</v>
      </c>
      <c r="O27" s="6">
        <f>'Assumptions'!O90</f>
        <v>3333</v>
      </c>
      <c r="P27" s="6">
        <f>'Assumptions'!P90</f>
        <v>3333</v>
      </c>
      <c r="Q27" s="6">
        <f>'Assumptions'!Q90</f>
        <v>3333</v>
      </c>
      <c r="R27" s="6">
        <f>'Assumptions'!R90</f>
        <v>3333</v>
      </c>
      <c r="S27" s="6">
        <f>'Assumptions'!S90</f>
        <v>3333</v>
      </c>
      <c r="T27" s="6">
        <f>'Assumptions'!T90</f>
        <v>3333</v>
      </c>
      <c r="U27" s="6">
        <f>'Assumptions'!U90</f>
        <v>4000</v>
      </c>
      <c r="V27" s="6">
        <f>'Assumptions'!V90</f>
        <v>4000</v>
      </c>
      <c r="W27" s="6">
        <f>'Assumptions'!W90</f>
        <v>4000</v>
      </c>
      <c r="X27" s="6">
        <f>'Assumptions'!X90</f>
        <v>4000</v>
      </c>
      <c r="Y27" s="6">
        <f>'Assumptions'!Y90</f>
        <v>4000</v>
      </c>
      <c r="Z27" s="6">
        <f>'Assumptions'!Z90</f>
        <v>4000</v>
      </c>
      <c r="AA27" s="6">
        <f>'Assumptions'!AA90</f>
        <v>4166.25</v>
      </c>
      <c r="AB27" s="6">
        <f>'Assumptions'!AB90</f>
        <v>4166.25</v>
      </c>
      <c r="AC27" s="6">
        <f>'Assumptions'!AC90</f>
        <v>4166.25</v>
      </c>
      <c r="AD27" s="6">
        <f>'Assumptions'!AD90</f>
        <v>4166.25</v>
      </c>
      <c r="AE27" s="6">
        <f>'Assumptions'!AE90</f>
        <v>4166.25</v>
      </c>
      <c r="AF27" s="6">
        <f>'Assumptions'!AF90</f>
        <v>4166.25</v>
      </c>
      <c r="AG27" s="6">
        <f>'Assumptions'!AG90</f>
        <v>4166.25</v>
      </c>
      <c r="AH27" s="6">
        <f>'Assumptions'!AH90</f>
        <v>4166.25</v>
      </c>
      <c r="AI27" s="6">
        <f>'Assumptions'!AI90</f>
        <v>4166.25</v>
      </c>
      <c r="AJ27" s="6">
        <f>'Assumptions'!AJ90</f>
        <v>4166.25</v>
      </c>
      <c r="AK27" s="6">
        <f>'Assumptions'!AK90</f>
        <v>4166.25</v>
      </c>
      <c r="AL27" s="6">
        <f>'Assumptions'!AL90</f>
        <v>4166.25</v>
      </c>
      <c r="AM27" s="6">
        <f>SUM(C27:AL27)</f>
        <v>133989</v>
      </c>
    </row>
    <row r="28" ht="25" customHeight="1" spans="1:39" x14ac:dyDescent="0.25" outlineLevel="1">
      <c r="A28" s="33" t="s">
        <v>116</v>
      </c>
      <c r="B28" s="33" t="s">
        <v>135</v>
      </c>
      <c r="C28" s="6">
        <f>'Assumptions'!C96</f>
        <v>0</v>
      </c>
      <c r="D28" s="6">
        <f>'Assumptions'!D96</f>
        <v>0</v>
      </c>
      <c r="E28" s="6">
        <f>'Assumptions'!E96</f>
        <v>0</v>
      </c>
      <c r="F28" s="6">
        <f>'Assumptions'!F96</f>
        <v>0</v>
      </c>
      <c r="G28" s="6">
        <f>'Assumptions'!G96</f>
        <v>0</v>
      </c>
      <c r="H28" s="6">
        <f>'Assumptions'!H96</f>
        <v>0</v>
      </c>
      <c r="I28" s="6">
        <f>'Assumptions'!I96</f>
        <v>0</v>
      </c>
      <c r="J28" s="6">
        <f>'Assumptions'!J96</f>
        <v>0</v>
      </c>
      <c r="K28" s="6">
        <f>'Assumptions'!K96</f>
        <v>0</v>
      </c>
      <c r="L28" s="6">
        <f>'Assumptions'!L96</f>
        <v>0</v>
      </c>
      <c r="M28" s="6">
        <f>'Assumptions'!M96</f>
        <v>0</v>
      </c>
      <c r="N28" s="6">
        <f>'Assumptions'!N96</f>
        <v>0</v>
      </c>
      <c r="O28" s="6">
        <f>'Assumptions'!O96</f>
        <v>3000</v>
      </c>
      <c r="P28" s="6">
        <f>'Assumptions'!P96</f>
        <v>3000</v>
      </c>
      <c r="Q28" s="6">
        <f>'Assumptions'!Q96</f>
        <v>3000</v>
      </c>
      <c r="R28" s="6">
        <f>'Assumptions'!R96</f>
        <v>3000</v>
      </c>
      <c r="S28" s="6">
        <f>'Assumptions'!S96</f>
        <v>3000</v>
      </c>
      <c r="T28" s="6">
        <f>'Assumptions'!T96</f>
        <v>3000</v>
      </c>
      <c r="U28" s="6">
        <f>'Assumptions'!U96</f>
        <v>3500</v>
      </c>
      <c r="V28" s="6">
        <f>'Assumptions'!V96</f>
        <v>3500</v>
      </c>
      <c r="W28" s="6">
        <f>'Assumptions'!W96</f>
        <v>3500</v>
      </c>
      <c r="X28" s="6">
        <f>'Assumptions'!X96</f>
        <v>3500</v>
      </c>
      <c r="Y28" s="6">
        <f>'Assumptions'!Y96</f>
        <v>3500</v>
      </c>
      <c r="Z28" s="6">
        <f>'Assumptions'!Z96</f>
        <v>3500</v>
      </c>
      <c r="AA28" s="6">
        <f>'Assumptions'!AA96</f>
        <v>4500</v>
      </c>
      <c r="AB28" s="6">
        <f>'Assumptions'!AB96</f>
        <v>4500</v>
      </c>
      <c r="AC28" s="6">
        <f>'Assumptions'!AC96</f>
        <v>4500</v>
      </c>
      <c r="AD28" s="6">
        <f>'Assumptions'!AD96</f>
        <v>4500</v>
      </c>
      <c r="AE28" s="6">
        <f>'Assumptions'!AE96</f>
        <v>4500</v>
      </c>
      <c r="AF28" s="6">
        <f>'Assumptions'!AF96</f>
        <v>4500</v>
      </c>
      <c r="AG28" s="6">
        <f>'Assumptions'!AG96</f>
        <v>4500</v>
      </c>
      <c r="AH28" s="6">
        <f>'Assumptions'!AH96</f>
        <v>4500</v>
      </c>
      <c r="AI28" s="6">
        <f>'Assumptions'!AI96</f>
        <v>4500</v>
      </c>
      <c r="AJ28" s="6">
        <f>'Assumptions'!AJ96</f>
        <v>4500</v>
      </c>
      <c r="AK28" s="6">
        <f>'Assumptions'!AK96</f>
        <v>4500</v>
      </c>
      <c r="AL28" s="6">
        <f>'Assumptions'!AL96</f>
        <v>4500</v>
      </c>
      <c r="AM28" s="6">
        <f>SUM(C28:AL28)</f>
        <v>93000</v>
      </c>
    </row>
    <row r="29" ht="28" customHeight="1" spans="1:39" x14ac:dyDescent="0.25">
      <c r="A29" s="31" t="s">
        <v>121</v>
      </c>
      <c r="B29" s="31" t="s">
        <v>151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</row>
    <row r="30" ht="25" customHeight="1" spans="1:39" x14ac:dyDescent="0.25" outlineLevel="1">
      <c r="A30" s="33" t="s">
        <v>121</v>
      </c>
      <c r="B30" s="33" t="s">
        <v>122</v>
      </c>
      <c r="C30" s="6">
        <f>'Assumptions'!C91</f>
        <v>5000</v>
      </c>
      <c r="D30" s="6">
        <f>'Assumptions'!D91</f>
        <v>5000</v>
      </c>
      <c r="E30" s="6">
        <f>'Assumptions'!E91</f>
        <v>5000</v>
      </c>
      <c r="F30" s="6">
        <f>'Assumptions'!F91</f>
        <v>5000</v>
      </c>
      <c r="G30" s="6">
        <f>'Assumptions'!G91</f>
        <v>5000</v>
      </c>
      <c r="H30" s="6">
        <f>'Assumptions'!H91</f>
        <v>5000</v>
      </c>
      <c r="I30" s="6">
        <f>'Assumptions'!I91</f>
        <v>6000</v>
      </c>
      <c r="J30" s="6">
        <f>'Assumptions'!J91</f>
        <v>6000</v>
      </c>
      <c r="K30" s="6">
        <f>'Assumptions'!K91</f>
        <v>6000</v>
      </c>
      <c r="L30" s="6">
        <f>'Assumptions'!L91</f>
        <v>6000</v>
      </c>
      <c r="M30" s="6">
        <f>'Assumptions'!M91</f>
        <v>6000</v>
      </c>
      <c r="N30" s="6">
        <f>'Assumptions'!N91</f>
        <v>6000</v>
      </c>
      <c r="O30" s="6">
        <f>'Assumptions'!O91</f>
        <v>12000</v>
      </c>
      <c r="P30" s="6">
        <f>'Assumptions'!P91</f>
        <v>12000</v>
      </c>
      <c r="Q30" s="6">
        <f>'Assumptions'!Q91</f>
        <v>12000</v>
      </c>
      <c r="R30" s="6">
        <f>'Assumptions'!R91</f>
        <v>12000</v>
      </c>
      <c r="S30" s="6">
        <f>'Assumptions'!S91</f>
        <v>12000</v>
      </c>
      <c r="T30" s="6">
        <f>'Assumptions'!T91</f>
        <v>12000</v>
      </c>
      <c r="U30" s="6">
        <f>'Assumptions'!U91</f>
        <v>12000</v>
      </c>
      <c r="V30" s="6">
        <f>'Assumptions'!V91</f>
        <v>12000</v>
      </c>
      <c r="W30" s="6">
        <f>'Assumptions'!W91</f>
        <v>12000</v>
      </c>
      <c r="X30" s="6">
        <f>'Assumptions'!X91</f>
        <v>12000</v>
      </c>
      <c r="Y30" s="6">
        <f>'Assumptions'!Y91</f>
        <v>12000</v>
      </c>
      <c r="Z30" s="6">
        <f>'Assumptions'!Z91</f>
        <v>12000</v>
      </c>
      <c r="AA30" s="6">
        <f>'Assumptions'!AA91</f>
        <v>15000</v>
      </c>
      <c r="AB30" s="6">
        <f>'Assumptions'!AB91</f>
        <v>15000</v>
      </c>
      <c r="AC30" s="6">
        <f>'Assumptions'!AC91</f>
        <v>15000</v>
      </c>
      <c r="AD30" s="6">
        <f>'Assumptions'!AD91</f>
        <v>15000</v>
      </c>
      <c r="AE30" s="6">
        <f>'Assumptions'!AE91</f>
        <v>15000</v>
      </c>
      <c r="AF30" s="6">
        <f>'Assumptions'!AF91</f>
        <v>15000</v>
      </c>
      <c r="AG30" s="6">
        <f>'Assumptions'!AG91</f>
        <v>15000</v>
      </c>
      <c r="AH30" s="6">
        <f>'Assumptions'!AH91</f>
        <v>15000</v>
      </c>
      <c r="AI30" s="6">
        <f>'Assumptions'!AI91</f>
        <v>15000</v>
      </c>
      <c r="AJ30" s="6">
        <f>'Assumptions'!AJ91</f>
        <v>15000</v>
      </c>
      <c r="AK30" s="6">
        <f>'Assumptions'!AK91</f>
        <v>15000</v>
      </c>
      <c r="AL30" s="6">
        <f>'Assumptions'!AL91</f>
        <v>15000</v>
      </c>
      <c r="AM30" s="6">
        <f>SUM(C30:AL30)</f>
        <v>390000</v>
      </c>
    </row>
    <row r="31" ht="25" customHeight="1" spans="1:39" x14ac:dyDescent="0.25" outlineLevel="1">
      <c r="A31" s="33" t="s">
        <v>121</v>
      </c>
      <c r="B31" s="33" t="s">
        <v>124</v>
      </c>
      <c r="C31" s="6">
        <f>'Assumptions'!C92</f>
        <v>5000</v>
      </c>
      <c r="D31" s="6">
        <f>'Assumptions'!D92</f>
        <v>5000</v>
      </c>
      <c r="E31" s="6">
        <f>'Assumptions'!E92</f>
        <v>5000</v>
      </c>
      <c r="F31" s="6">
        <f>'Assumptions'!F92</f>
        <v>5000</v>
      </c>
      <c r="G31" s="6">
        <f>'Assumptions'!G92</f>
        <v>5000</v>
      </c>
      <c r="H31" s="6">
        <f>'Assumptions'!H92</f>
        <v>5000</v>
      </c>
      <c r="I31" s="6">
        <f>'Assumptions'!I92</f>
        <v>6000</v>
      </c>
      <c r="J31" s="6">
        <f>'Assumptions'!J92</f>
        <v>6000</v>
      </c>
      <c r="K31" s="6">
        <f>'Assumptions'!K92</f>
        <v>6000</v>
      </c>
      <c r="L31" s="6">
        <f>'Assumptions'!L92</f>
        <v>6000</v>
      </c>
      <c r="M31" s="6">
        <f>'Assumptions'!M92</f>
        <v>6000</v>
      </c>
      <c r="N31" s="6">
        <f>'Assumptions'!N92</f>
        <v>6000</v>
      </c>
      <c r="O31" s="6">
        <f>'Assumptions'!O92</f>
        <v>12000</v>
      </c>
      <c r="P31" s="6">
        <f>'Assumptions'!P92</f>
        <v>12000</v>
      </c>
      <c r="Q31" s="6">
        <f>'Assumptions'!Q92</f>
        <v>12000</v>
      </c>
      <c r="R31" s="6">
        <f>'Assumptions'!R92</f>
        <v>12000</v>
      </c>
      <c r="S31" s="6">
        <f>'Assumptions'!S92</f>
        <v>12000</v>
      </c>
      <c r="T31" s="6">
        <f>'Assumptions'!T92</f>
        <v>12000</v>
      </c>
      <c r="U31" s="6">
        <f>'Assumptions'!U92</f>
        <v>12000</v>
      </c>
      <c r="V31" s="6">
        <f>'Assumptions'!V92</f>
        <v>12000</v>
      </c>
      <c r="W31" s="6">
        <f>'Assumptions'!W92</f>
        <v>12000</v>
      </c>
      <c r="X31" s="6">
        <f>'Assumptions'!X92</f>
        <v>12000</v>
      </c>
      <c r="Y31" s="6">
        <f>'Assumptions'!Y92</f>
        <v>12000</v>
      </c>
      <c r="Z31" s="6">
        <f>'Assumptions'!Z92</f>
        <v>12000</v>
      </c>
      <c r="AA31" s="6">
        <f>'Assumptions'!AA92</f>
        <v>15000</v>
      </c>
      <c r="AB31" s="6">
        <f>'Assumptions'!AB92</f>
        <v>15000</v>
      </c>
      <c r="AC31" s="6">
        <f>'Assumptions'!AC92</f>
        <v>15000</v>
      </c>
      <c r="AD31" s="6">
        <f>'Assumptions'!AD92</f>
        <v>15000</v>
      </c>
      <c r="AE31" s="6">
        <f>'Assumptions'!AE92</f>
        <v>15000</v>
      </c>
      <c r="AF31" s="6">
        <f>'Assumptions'!AF92</f>
        <v>15000</v>
      </c>
      <c r="AG31" s="6">
        <f>'Assumptions'!AG92</f>
        <v>15000</v>
      </c>
      <c r="AH31" s="6">
        <f>'Assumptions'!AH92</f>
        <v>15000</v>
      </c>
      <c r="AI31" s="6">
        <f>'Assumptions'!AI92</f>
        <v>15000</v>
      </c>
      <c r="AJ31" s="6">
        <f>'Assumptions'!AJ92</f>
        <v>15000</v>
      </c>
      <c r="AK31" s="6">
        <f>'Assumptions'!AK92</f>
        <v>15000</v>
      </c>
      <c r="AL31" s="6">
        <f>'Assumptions'!AL92</f>
        <v>15000</v>
      </c>
      <c r="AM31" s="6">
        <f>SUM(C31:AL31)</f>
        <v>390000</v>
      </c>
    </row>
    <row r="32" ht="28" customHeight="1" spans="1:39" x14ac:dyDescent="0.25">
      <c r="A32" s="31" t="s">
        <v>126</v>
      </c>
      <c r="B32" s="31" t="s">
        <v>151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</row>
    <row r="33" ht="25" customHeight="1" spans="1:39" x14ac:dyDescent="0.25" outlineLevel="1">
      <c r="A33" s="33" t="s">
        <v>126</v>
      </c>
      <c r="B33" s="33" t="s">
        <v>127</v>
      </c>
      <c r="C33" s="6">
        <f>'Assumptions'!C93</f>
        <v>1500</v>
      </c>
      <c r="D33" s="6">
        <f>'Assumptions'!D93</f>
        <v>1500</v>
      </c>
      <c r="E33" s="6">
        <f>'Assumptions'!E93</f>
        <v>1500</v>
      </c>
      <c r="F33" s="6">
        <f>'Assumptions'!F93</f>
        <v>1500</v>
      </c>
      <c r="G33" s="6">
        <f>'Assumptions'!G93</f>
        <v>1500</v>
      </c>
      <c r="H33" s="6">
        <f>'Assumptions'!H93</f>
        <v>1500</v>
      </c>
      <c r="I33" s="6">
        <f>'Assumptions'!I93</f>
        <v>2000</v>
      </c>
      <c r="J33" s="6">
        <f>'Assumptions'!J93</f>
        <v>2000</v>
      </c>
      <c r="K33" s="6">
        <f>'Assumptions'!K93</f>
        <v>2000</v>
      </c>
      <c r="L33" s="6">
        <f>'Assumptions'!L93</f>
        <v>2000</v>
      </c>
      <c r="M33" s="6">
        <f>'Assumptions'!M93</f>
        <v>2000</v>
      </c>
      <c r="N33" s="6">
        <f>'Assumptions'!N93</f>
        <v>2000</v>
      </c>
      <c r="O33" s="6">
        <f>'Assumptions'!O93</f>
        <v>2500</v>
      </c>
      <c r="P33" s="6">
        <f>'Assumptions'!P93</f>
        <v>2500</v>
      </c>
      <c r="Q33" s="6">
        <f>'Assumptions'!Q93</f>
        <v>2500</v>
      </c>
      <c r="R33" s="6">
        <f>'Assumptions'!R93</f>
        <v>2500</v>
      </c>
      <c r="S33" s="6">
        <f>'Assumptions'!S93</f>
        <v>2500</v>
      </c>
      <c r="T33" s="6">
        <f>'Assumptions'!T93</f>
        <v>2500</v>
      </c>
      <c r="U33" s="6">
        <f>'Assumptions'!U93</f>
        <v>3000</v>
      </c>
      <c r="V33" s="6">
        <f>'Assumptions'!V93</f>
        <v>3000</v>
      </c>
      <c r="W33" s="6">
        <f>'Assumptions'!W93</f>
        <v>3000</v>
      </c>
      <c r="X33" s="6">
        <f>'Assumptions'!X93</f>
        <v>3000</v>
      </c>
      <c r="Y33" s="6">
        <f>'Assumptions'!Y93</f>
        <v>3000</v>
      </c>
      <c r="Z33" s="6">
        <f>'Assumptions'!Z93</f>
        <v>3000</v>
      </c>
      <c r="AA33" s="6">
        <f>'Assumptions'!AA93</f>
        <v>3000</v>
      </c>
      <c r="AB33" s="6">
        <f>'Assumptions'!AB93</f>
        <v>3000</v>
      </c>
      <c r="AC33" s="6">
        <f>'Assumptions'!AC93</f>
        <v>3000</v>
      </c>
      <c r="AD33" s="6">
        <f>'Assumptions'!AD93</f>
        <v>3000</v>
      </c>
      <c r="AE33" s="6">
        <f>'Assumptions'!AE93</f>
        <v>3000</v>
      </c>
      <c r="AF33" s="6">
        <f>'Assumptions'!AF93</f>
        <v>3000</v>
      </c>
      <c r="AG33" s="6">
        <f>'Assumptions'!AG93</f>
        <v>3000</v>
      </c>
      <c r="AH33" s="6">
        <f>'Assumptions'!AH93</f>
        <v>3000</v>
      </c>
      <c r="AI33" s="6">
        <f>'Assumptions'!AI93</f>
        <v>3000</v>
      </c>
      <c r="AJ33" s="6">
        <f>'Assumptions'!AJ93</f>
        <v>3000</v>
      </c>
      <c r="AK33" s="6">
        <f>'Assumptions'!AK93</f>
        <v>3000</v>
      </c>
      <c r="AL33" s="6">
        <f>'Assumptions'!AL93</f>
        <v>3000</v>
      </c>
      <c r="AM33" s="6">
        <f>SUM(C33:AL33)</f>
        <v>90000</v>
      </c>
    </row>
    <row r="34" ht="25" customHeight="1" spans="1:39" x14ac:dyDescent="0.25" outlineLevel="1">
      <c r="A34" s="33" t="s">
        <v>126</v>
      </c>
      <c r="B34" s="33" t="s">
        <v>129</v>
      </c>
      <c r="C34" s="6">
        <f>'Assumptions'!B11*C9*'Assumptions'!C94</f>
        <v>481.25</v>
      </c>
      <c r="D34" s="6">
        <f>'Assumptions'!B11*D9*'Assumptions'!D94</f>
        <v>481.25</v>
      </c>
      <c r="E34" s="6">
        <f>'Assumptions'!B11*E9*'Assumptions'!E94</f>
        <v>481.25</v>
      </c>
      <c r="F34" s="6">
        <f>'Assumptions'!B11*F9*'Assumptions'!F94</f>
        <v>481.25</v>
      </c>
      <c r="G34" s="6">
        <f>'Assumptions'!B11*G9*'Assumptions'!G94</f>
        <v>481.25</v>
      </c>
      <c r="H34" s="6">
        <f>'Assumptions'!B11*H9*'Assumptions'!H94</f>
        <v>481.25</v>
      </c>
      <c r="I34" s="6">
        <f>'Assumptions'!B11*I9*'Assumptions'!I94</f>
        <v>481.25</v>
      </c>
      <c r="J34" s="6">
        <f>'Assumptions'!B11*J9*'Assumptions'!J94</f>
        <v>630</v>
      </c>
      <c r="K34" s="6">
        <f>'Assumptions'!B11*K9*'Assumptions'!K94</f>
        <v>630</v>
      </c>
      <c r="L34" s="6">
        <f>'Assumptions'!B11*L9*'Assumptions'!L94</f>
        <v>630</v>
      </c>
      <c r="M34" s="6">
        <f>'Assumptions'!B11*M9*'Assumptions'!M94</f>
        <v>840</v>
      </c>
      <c r="N34" s="6">
        <f>'Assumptions'!B11*N9*'Assumptions'!N94</f>
        <v>840</v>
      </c>
      <c r="O34" s="6">
        <f>'Assumptions'!B11*O9*'Assumptions'!O94</f>
        <v>1050</v>
      </c>
      <c r="P34" s="6">
        <f>'Assumptions'!B11*P9*'Assumptions'!P94</f>
        <v>1050</v>
      </c>
      <c r="Q34" s="6">
        <f>'Assumptions'!B11*Q9*'Assumptions'!Q94</f>
        <v>1050</v>
      </c>
      <c r="R34" s="6">
        <f>'Assumptions'!B11*R9*'Assumptions'!R94</f>
        <v>1260</v>
      </c>
      <c r="S34" s="6">
        <f>'Assumptions'!B11*S9*'Assumptions'!S94</f>
        <v>1260</v>
      </c>
      <c r="T34" s="6">
        <f>'Assumptions'!B11*T9*'Assumptions'!T94</f>
        <v>1400</v>
      </c>
      <c r="U34" s="6">
        <f>'Assumptions'!B11*U9*'Assumptions'!U94</f>
        <v>1400</v>
      </c>
      <c r="V34" s="6">
        <f>'Assumptions'!B11*V9*'Assumptions'!V94</f>
        <v>1750</v>
      </c>
      <c r="W34" s="6">
        <f>'Assumptions'!B11*W9*'Assumptions'!W94</f>
        <v>1750</v>
      </c>
      <c r="X34" s="6">
        <f>'Assumptions'!B11*X9*'Assumptions'!X94</f>
        <v>1750</v>
      </c>
      <c r="Y34" s="6">
        <f>'Assumptions'!B11*Y9*'Assumptions'!Y94</f>
        <v>1960</v>
      </c>
      <c r="Z34" s="6">
        <f>'Assumptions'!B11*Z9*'Assumptions'!Z94</f>
        <v>1960</v>
      </c>
      <c r="AA34" s="6">
        <f>'Assumptions'!B11*AA9*'Assumptions'!AA94</f>
        <v>1960</v>
      </c>
      <c r="AB34" s="6">
        <f>'Assumptions'!B11*AB9*'Assumptions'!AB94</f>
        <v>1960</v>
      </c>
      <c r="AC34" s="6">
        <f>'Assumptions'!B11*AC9*'Assumptions'!AC94</f>
        <v>1960</v>
      </c>
      <c r="AD34" s="6">
        <f>'Assumptions'!B11*AD9*'Assumptions'!AD94</f>
        <v>1960</v>
      </c>
      <c r="AE34" s="6">
        <f>'Assumptions'!B11*AE9*'Assumptions'!AE94</f>
        <v>1960</v>
      </c>
      <c r="AF34" s="6">
        <f>'Assumptions'!B11*AF9*'Assumptions'!AF94</f>
        <v>1960</v>
      </c>
      <c r="AG34" s="6">
        <f>'Assumptions'!B11*AG9*'Assumptions'!AG94</f>
        <v>1960</v>
      </c>
      <c r="AH34" s="6">
        <f>'Assumptions'!B11*AH9*'Assumptions'!AH94</f>
        <v>1960</v>
      </c>
      <c r="AI34" s="6">
        <f>'Assumptions'!B11*AI9*'Assumptions'!AI94</f>
        <v>1960</v>
      </c>
      <c r="AJ34" s="6">
        <f>'Assumptions'!B11*AJ9*'Assumptions'!AJ94</f>
        <v>1960</v>
      </c>
      <c r="AK34" s="6">
        <f>'Assumptions'!B11*AK9*'Assumptions'!AK94</f>
        <v>1960</v>
      </c>
      <c r="AL34" s="6">
        <f>'Assumptions'!B11*AL9*'Assumptions'!AL94</f>
        <v>1960</v>
      </c>
      <c r="AM34" s="6">
        <f>SUM(C34:AL34)</f>
        <v>48098.75</v>
      </c>
    </row>
    <row r="35" ht="25" customHeight="1" spans="1:39" x14ac:dyDescent="0.25" outlineLevel="1">
      <c r="A35" s="33" t="s">
        <v>126</v>
      </c>
      <c r="B35" s="33" t="s">
        <v>133</v>
      </c>
      <c r="C35" s="6">
        <f>'Assumptions'!C95</f>
        <v>1000</v>
      </c>
      <c r="D35" s="6">
        <f>'Assumptions'!D95</f>
        <v>1000</v>
      </c>
      <c r="E35" s="6">
        <f>'Assumptions'!E95</f>
        <v>1000</v>
      </c>
      <c r="F35" s="6">
        <f>'Assumptions'!F95</f>
        <v>1000</v>
      </c>
      <c r="G35" s="6">
        <f>'Assumptions'!G95</f>
        <v>1000</v>
      </c>
      <c r="H35" s="6">
        <f>'Assumptions'!H95</f>
        <v>1000</v>
      </c>
      <c r="I35" s="6">
        <f>'Assumptions'!I95</f>
        <v>1000</v>
      </c>
      <c r="J35" s="6">
        <f>'Assumptions'!J95</f>
        <v>1000</v>
      </c>
      <c r="K35" s="6">
        <f>'Assumptions'!K95</f>
        <v>1000</v>
      </c>
      <c r="L35" s="6">
        <f>'Assumptions'!L95</f>
        <v>1000</v>
      </c>
      <c r="M35" s="6">
        <f>'Assumptions'!M95</f>
        <v>1000</v>
      </c>
      <c r="N35" s="6">
        <f>'Assumptions'!N95</f>
        <v>1000</v>
      </c>
      <c r="O35" s="6">
        <f>'Assumptions'!O95</f>
        <v>2000</v>
      </c>
      <c r="P35" s="6">
        <f>'Assumptions'!P95</f>
        <v>2000</v>
      </c>
      <c r="Q35" s="6">
        <f>'Assumptions'!Q95</f>
        <v>2000</v>
      </c>
      <c r="R35" s="6">
        <f>'Assumptions'!R95</f>
        <v>2000</v>
      </c>
      <c r="S35" s="6">
        <f>'Assumptions'!S95</f>
        <v>2000</v>
      </c>
      <c r="T35" s="6">
        <f>'Assumptions'!T95</f>
        <v>2000</v>
      </c>
      <c r="U35" s="6">
        <f>'Assumptions'!U95</f>
        <v>2500</v>
      </c>
      <c r="V35" s="6">
        <f>'Assumptions'!V95</f>
        <v>2500</v>
      </c>
      <c r="W35" s="6">
        <f>'Assumptions'!W95</f>
        <v>2500</v>
      </c>
      <c r="X35" s="6">
        <f>'Assumptions'!X95</f>
        <v>2500</v>
      </c>
      <c r="Y35" s="6">
        <f>'Assumptions'!Y95</f>
        <v>2500</v>
      </c>
      <c r="Z35" s="6">
        <f>'Assumptions'!Z95</f>
        <v>2500</v>
      </c>
      <c r="AA35" s="6">
        <f>'Assumptions'!AA95</f>
        <v>2500</v>
      </c>
      <c r="AB35" s="6">
        <f>'Assumptions'!AB95</f>
        <v>2500</v>
      </c>
      <c r="AC35" s="6">
        <f>'Assumptions'!AC95</f>
        <v>2500</v>
      </c>
      <c r="AD35" s="6">
        <f>'Assumptions'!AD95</f>
        <v>2500</v>
      </c>
      <c r="AE35" s="6">
        <f>'Assumptions'!AE95</f>
        <v>2500</v>
      </c>
      <c r="AF35" s="6">
        <f>'Assumptions'!AF95</f>
        <v>2500</v>
      </c>
      <c r="AG35" s="6">
        <f>'Assumptions'!AG95</f>
        <v>2500</v>
      </c>
      <c r="AH35" s="6">
        <f>'Assumptions'!AH95</f>
        <v>2500</v>
      </c>
      <c r="AI35" s="6">
        <f>'Assumptions'!AI95</f>
        <v>2500</v>
      </c>
      <c r="AJ35" s="6">
        <f>'Assumptions'!AJ95</f>
        <v>2500</v>
      </c>
      <c r="AK35" s="6">
        <f>'Assumptions'!AK95</f>
        <v>2500</v>
      </c>
      <c r="AL35" s="6">
        <f>'Assumptions'!AL95</f>
        <v>2500</v>
      </c>
      <c r="AM35" s="6">
        <f>SUM(C35:AL35)</f>
        <v>69000</v>
      </c>
    </row>
    <row r="36" ht="25" customHeight="1" spans="1:39" x14ac:dyDescent="0.25">
      <c r="A36" s="34" t="s">
        <v>152</v>
      </c>
      <c r="B36" s="34" t="s">
        <v>11</v>
      </c>
      <c r="C36" s="6">
        <f>C16+C17+C18+C20+C21+C22+C23+C24+C26+C27+C28+C30+C31+C33+C34+C35</f>
        <v>38601.75</v>
      </c>
      <c r="D36" s="6">
        <f>D16+D17+D18+D20+D21+D22+D23+D24+D26+D27+D28+D30+D31+D33+D34+D35</f>
        <v>38601.75</v>
      </c>
      <c r="E36" s="6">
        <f>E16+E17+E18+E20+E21+E22+E23+E24+E26+E27+E28+E30+E31+E33+E34+E35</f>
        <v>40364.25</v>
      </c>
      <c r="F36" s="6">
        <f>F16+F17+F18+F20+F21+F22+F23+F24+F26+F27+F28+F30+F31+F33+F34+F35</f>
        <v>40364.25</v>
      </c>
      <c r="G36" s="6">
        <f>G16+G17+G18+G20+G21+G22+G23+G24+G26+G27+G28+G30+G31+G33+G34+G35</f>
        <v>42126.75</v>
      </c>
      <c r="H36" s="6">
        <f>H16+H17+H18+H20+H21+H22+H23+H24+H26+H27+H28+H30+H31+H33+H34+H35</f>
        <v>42714.25</v>
      </c>
      <c r="I36" s="6">
        <f>I16+I17+I18+I20+I21+I22+I23+I24+I26+I27+I28+I30+I31+I33+I34+I35</f>
        <v>47897.25</v>
      </c>
      <c r="J36" s="6">
        <f>J16+J17+J18+J20+J21+J22+J23+J24+J26+J27+J28+J30+J31+J33+J34+J35</f>
        <v>53921</v>
      </c>
      <c r="K36" s="6">
        <f>K16+K17+K18+K20+K21+K22+K23+K24+K26+K27+K28+K30+K31+K33+K34+K35</f>
        <v>63321</v>
      </c>
      <c r="L36" s="6">
        <f>L16+L17+L18+L20+L21+L22+L23+L24+L26+L27+L28+L30+L31+L33+L34+L35</f>
        <v>63321</v>
      </c>
      <c r="M36" s="6">
        <f>M16+M17+M18+M20+M21+M22+M23+M24+M26+M27+M28+M30+M31+M33+M34+M35</f>
        <v>63531</v>
      </c>
      <c r="N36" s="6">
        <f>N16+N17+N18+N20+N21+N22+N23+N24+N26+N27+N28+N30+N31+N33+N34+N35</f>
        <v>63531</v>
      </c>
      <c r="O36" s="6">
        <f>O16+O17+O18+O20+O21+O22+O23+O24+O26+O27+O28+O30+O31+O33+O34+O35</f>
        <v>86116</v>
      </c>
      <c r="P36" s="6">
        <f>P16+P17+P18+P20+P21+P22+P23+P24+P26+P27+P28+P30+P31+P33+P34+P35</f>
        <v>86116</v>
      </c>
      <c r="Q36" s="6">
        <f>Q16+Q17+Q18+Q20+Q21+Q22+Q23+Q24+Q26+Q27+Q28+Q30+Q31+Q33+Q34+Q35</f>
        <v>86116</v>
      </c>
      <c r="R36" s="6">
        <f>R16+R17+R18+R20+R21+R22+R23+R24+R26+R27+R28+R30+R31+R33+R34+R35</f>
        <v>92201</v>
      </c>
      <c r="S36" s="6">
        <f>S16+S17+S18+S20+S21+S22+S23+S24+S26+S27+S28+S30+S31+S33+S34+S35</f>
        <v>92201</v>
      </c>
      <c r="T36" s="6">
        <f>T16+T17+T18+T20+T21+T22+T23+T24+T26+T27+T28+T30+T31+T33+T34+T35</f>
        <v>92341</v>
      </c>
      <c r="U36" s="6">
        <f>U16+U17+U18+U20+U21+U22+U23+U24+U26+U27+U28+U30+U31+U33+U34+U35</f>
        <v>101875</v>
      </c>
      <c r="V36" s="6">
        <f>V16+V17+V18+V20+V21+V22+V23+V24+V26+V27+V28+V30+V31+V33+V34+V35</f>
        <v>108100</v>
      </c>
      <c r="W36" s="6">
        <f>W16+W17+W18+W20+W21+W22+W23+W24+W26+W27+W28+W30+W31+W33+W34+W35</f>
        <v>108100</v>
      </c>
      <c r="X36" s="6">
        <f>X16+X17+X18+X20+X21+X22+X23+X24+X26+X27+X28+X30+X31+X33+X34+X35</f>
        <v>108100</v>
      </c>
      <c r="Y36" s="6">
        <f>Y16+Y17+Y18+Y20+Y21+Y22+Y23+Y24+Y26+Y27+Y28+Y30+Y31+Y33+Y34+Y35</f>
        <v>114185</v>
      </c>
      <c r="Z36" s="6">
        <f>Z16+Z17+Z18+Z20+Z21+Z22+Z23+Z24+Z26+Z27+Z28+Z30+Z31+Z33+Z34+Z35</f>
        <v>114185</v>
      </c>
      <c r="AA36" s="6">
        <f>AA16+AA17+AA18+AA20+AA21+AA22+AA23+AA24+AA26+AA27+AA28+AA30+AA31+AA33+AA34+AA35</f>
        <v>135276.25</v>
      </c>
      <c r="AB36" s="6">
        <f>AB16+AB17+AB18+AB20+AB21+AB22+AB23+AB24+AB26+AB27+AB28+AB30+AB31+AB33+AB34+AB35</f>
        <v>135276.25</v>
      </c>
      <c r="AC36" s="6">
        <f>AC16+AC17+AC18+AC20+AC21+AC22+AC23+AC24+AC26+AC27+AC28+AC30+AC31+AC33+AC34+AC35</f>
        <v>141151.25</v>
      </c>
      <c r="AD36" s="6">
        <f>AD16+AD17+AD18+AD20+AD21+AD22+AD23+AD24+AD26+AD27+AD28+AD30+AD31+AD33+AD34+AD35</f>
        <v>147026.25</v>
      </c>
      <c r="AE36" s="6">
        <f>AE16+AE17+AE18+AE20+AE21+AE22+AE23+AE24+AE26+AE27+AE28+AE30+AE31+AE33+AE34+AE35</f>
        <v>147026.25</v>
      </c>
      <c r="AF36" s="6">
        <f>AF16+AF17+AF18+AF20+AF21+AF22+AF23+AF24+AF26+AF27+AF28+AF30+AF31+AF33+AF34+AF35</f>
        <v>147026.25</v>
      </c>
      <c r="AG36" s="6">
        <f>AG16+AG17+AG18+AG20+AG21+AG22+AG23+AG24+AG26+AG27+AG28+AG30+AG31+AG33+AG34+AG35</f>
        <v>172526.25</v>
      </c>
      <c r="AH36" s="6">
        <f>AH16+AH17+AH18+AH20+AH21+AH22+AH23+AH24+AH26+AH27+AH28+AH30+AH31+AH33+AH34+AH35</f>
        <v>178401.25</v>
      </c>
      <c r="AI36" s="6">
        <f>AI16+AI17+AI18+AI20+AI21+AI22+AI23+AI24+AI26+AI27+AI28+AI30+AI31+AI33+AI34+AI35</f>
        <v>178401.25</v>
      </c>
      <c r="AJ36" s="6">
        <f>AJ16+AJ17+AJ18+AJ20+AJ21+AJ22+AJ23+AJ24+AJ26+AJ27+AJ28+AJ30+AJ31+AJ33+AJ34+AJ35</f>
        <v>184276.25</v>
      </c>
      <c r="AK36" s="6">
        <f>AK16+AK17+AK18+AK20+AK21+AK22+AK23+AK24+AK26+AK27+AK28+AK30+AK31+AK33+AK34+AK35</f>
        <v>184276.25</v>
      </c>
      <c r="AL36" s="6">
        <f>AL16+AL17+AL18+AL20+AL21+AL22+AL23+AL24+AL26+AL27+AL28+AL30+AL31+AL33+AL34+AL35</f>
        <v>184276.25</v>
      </c>
      <c r="AM36" s="6">
        <f>SUM(C36:AL36)</f>
        <v>3722871.25</v>
      </c>
    </row>
    <row r="37" ht="25" customHeight="1" spans="1:39" x14ac:dyDescent="0.25">
      <c r="A37" s="30" t="s">
        <v>153</v>
      </c>
      <c r="B37" s="30" t="s">
        <v>154</v>
      </c>
      <c r="C37" s="6">
        <f>C13-C36</f>
        <v>-26883.3125</v>
      </c>
      <c r="D37" s="6">
        <f>D13-D36</f>
        <v>-26168.4671875</v>
      </c>
      <c r="E37" s="6">
        <f>E13-E36</f>
        <v>-26961.8836015625</v>
      </c>
      <c r="F37" s="6">
        <f>F13-F36</f>
        <v>-25997.645433554688</v>
      </c>
      <c r="G37" s="6">
        <f>G13-G36</f>
        <v>-26542.91595638691</v>
      </c>
      <c r="H37" s="6">
        <f>H13-H36</f>
        <v>-25833.33512660498</v>
      </c>
      <c r="I37" s="6">
        <f>I13-I36</f>
        <v>-29381.989700971957</v>
      </c>
      <c r="J37" s="6">
        <f>J13-J36</f>
        <v>-26429.03185777511</v>
      </c>
      <c r="K37" s="6">
        <f>K13-K36</f>
        <v>-30791.491698486236</v>
      </c>
      <c r="L37" s="6">
        <f>L13-L36</f>
        <v>-25779.139239993805</v>
      </c>
      <c r="M37" s="6">
        <f>M13-M36</f>
        <v>-6825.464725058453</v>
      </c>
      <c r="N37" s="6">
        <f>N13-N36</f>
        <v>-208.99240143316274</v>
      </c>
      <c r="O37" s="6">
        <f>O13-O36</f>
        <v>3140.746950717512</v>
      </c>
      <c r="P37" s="6">
        <f>P13-P36</f>
        <v>13194.463215963915</v>
      </c>
      <c r="Q37" s="6">
        <f>Q13-Q36</f>
        <v>23197.910899884097</v>
      </c>
      <c r="R37" s="6">
        <f>R13-R36</f>
        <v>53169.809614461614</v>
      </c>
      <c r="S37" s="6">
        <f>S13-S36</f>
        <v>67292.95556638928</v>
      </c>
      <c r="T37" s="6">
        <f>T13-T36</f>
        <v>100488.42865395261</v>
      </c>
      <c r="U37" s="6">
        <f>U13-U36</f>
        <v>108490.28151068286</v>
      </c>
      <c r="V37" s="6">
        <f>V13-V36</f>
        <v>179791.81887891178</v>
      </c>
      <c r="W37" s="6">
        <f>W13-W36</f>
        <v>204602.3597845172</v>
      </c>
      <c r="X37" s="6">
        <f>X13-X36</f>
        <v>229288.84798559465</v>
      </c>
      <c r="Y37" s="6">
        <f>Y13-Y36</f>
        <v>294701.13219514664</v>
      </c>
      <c r="Z37" s="6">
        <f>Z13-Z36</f>
        <v>325556.7015341709</v>
      </c>
      <c r="AA37" s="6">
        <f>AA13-AA36</f>
        <v>342866.74302650004</v>
      </c>
      <c r="AB37" s="6">
        <f>AB13-AB36</f>
        <v>381076.0280613675</v>
      </c>
      <c r="AC37" s="6">
        <f>AC13-AC36</f>
        <v>416719.2666710607</v>
      </c>
      <c r="AD37" s="6">
        <f>AD13-AD36</f>
        <v>455654.91408770543</v>
      </c>
      <c r="AE37" s="6">
        <f>AE13-AE36</f>
        <v>500241.5082672669</v>
      </c>
      <c r="AF37" s="6">
        <f>AF13-AF36</f>
        <v>544605.1694759305</v>
      </c>
      <c r="AG37" s="6">
        <f>AG13-AG36</f>
        <v>577247.0123785508</v>
      </c>
      <c r="AH37" s="6">
        <f>AH13-AH36</f>
        <v>632723.1460666581</v>
      </c>
      <c r="AI37" s="6">
        <f>AI13-AI36</f>
        <v>693767.5240863247</v>
      </c>
      <c r="AJ37" s="6">
        <f>AJ13-AJ36</f>
        <v>752131.6802158931</v>
      </c>
      <c r="AK37" s="6">
        <f>AK13-AK36</f>
        <v>816049.6405648136</v>
      </c>
      <c r="AL37" s="6">
        <f>AL13-AL36</f>
        <v>879648.0111119896</v>
      </c>
      <c r="AM37" s="6">
        <f>SUM(C37:AL37)</f>
        <v>8317842.431375126</v>
      </c>
    </row>
    <row r="38" ht="25" customHeight="1" spans="1:39" x14ac:dyDescent="0.25">
      <c r="A38" s="35" t="s">
        <v>153</v>
      </c>
      <c r="B38" s="35" t="s">
        <v>155</v>
      </c>
      <c r="C38" s="6">
        <f>C37</f>
        <v>-26883.3125</v>
      </c>
      <c r="D38" s="6">
        <f>C38+D37</f>
        <v>-53051.7796875</v>
      </c>
      <c r="E38" s="6">
        <f>D38+E37</f>
        <v>-80013.6632890625</v>
      </c>
      <c r="F38" s="6">
        <f>E38+F37</f>
        <v>-106011.30872261719</v>
      </c>
      <c r="G38" s="6">
        <f>F38+G37</f>
        <v>-132554.2246790041</v>
      </c>
      <c r="H38" s="6">
        <f>G38+H37</f>
        <v>-158387.55980560908</v>
      </c>
      <c r="I38" s="6">
        <f>H38+I37</f>
        <v>-187769.54950658104</v>
      </c>
      <c r="J38" s="6">
        <f>I38+J37</f>
        <v>-214198.58136435616</v>
      </c>
      <c r="K38" s="6">
        <f>J38+K37</f>
        <v>-244990.0730628424</v>
      </c>
      <c r="L38" s="6">
        <f>K38+L37</f>
        <v>-270769.2123028362</v>
      </c>
      <c r="M38" s="6">
        <f>L38+M37</f>
        <v>-277594.67702789465</v>
      </c>
      <c r="N38" s="6">
        <f>M38+N37</f>
        <v>-277803.6694293278</v>
      </c>
      <c r="O38" s="6">
        <f>N38+O37</f>
        <v>-274662.9224786103</v>
      </c>
      <c r="P38" s="6">
        <f>O38+P37</f>
        <v>-261468.4592626464</v>
      </c>
      <c r="Q38" s="6">
        <f>P38+Q37</f>
        <v>-238270.5483627623</v>
      </c>
      <c r="R38" s="6">
        <f>Q38+R37</f>
        <v>-185100.73874830068</v>
      </c>
      <c r="S38" s="6">
        <f>R38+S37</f>
        <v>-117807.78318191139</v>
      </c>
      <c r="T38" s="6">
        <f>S38+T37</f>
        <v>-17319.354527958785</v>
      </c>
      <c r="U38" s="6">
        <f>T38+U37</f>
        <v>91170.92698272408</v>
      </c>
      <c r="V38" s="6">
        <f>U38+V37</f>
        <v>270962.7458616359</v>
      </c>
      <c r="W38" s="6">
        <f>V38+W37</f>
        <v>475565.1056461531</v>
      </c>
      <c r="X38" s="6">
        <f>W38+X37</f>
        <v>704853.9536317477</v>
      </c>
      <c r="Y38" s="6">
        <f>X38+Y37</f>
        <v>999555.0858268944</v>
      </c>
      <c r="Z38" s="6">
        <f>Y38+Z37</f>
        <v>1325111.7873610654</v>
      </c>
      <c r="AA38" s="6">
        <f>Z38+AA37</f>
        <v>1667978.5303875655</v>
      </c>
      <c r="AB38" s="6">
        <f>AA38+AB37</f>
        <v>2049054.558448933</v>
      </c>
      <c r="AC38" s="6">
        <f>AB38+AC37</f>
        <v>2465773.8251199936</v>
      </c>
      <c r="AD38" s="6">
        <f>AC38+AD37</f>
        <v>2921428.739207699</v>
      </c>
      <c r="AE38" s="6">
        <f>AD38+AE37</f>
        <v>3421670.2474749656</v>
      </c>
      <c r="AF38" s="6">
        <f>AE38+AF37</f>
        <v>3966275.4169508964</v>
      </c>
      <c r="AG38" s="6">
        <f>AF38+AG37</f>
        <v>4543522.429329447</v>
      </c>
      <c r="AH38" s="6">
        <f>AG38+AH37</f>
        <v>5176245.575396106</v>
      </c>
      <c r="AI38" s="6">
        <f>AH38+AI37</f>
        <v>5870013.09948243</v>
      </c>
      <c r="AJ38" s="6">
        <f>AI38+AJ37</f>
        <v>6622144.779698323</v>
      </c>
      <c r="AK38" s="6">
        <f>AJ38+AK37</f>
        <v>7438194.420263137</v>
      </c>
      <c r="AL38" s="6">
        <f>AK38+AL37</f>
        <v>8317842.431375126</v>
      </c>
      <c r="AM38" s="6">
        <f>AL38</f>
        <v>8317842.431375126</v>
      </c>
    </row>
    <row r="39" ht="25" customHeight="1" spans="1:39" x14ac:dyDescent="0.25">
      <c r="A39" s="30" t="s">
        <v>156</v>
      </c>
      <c r="B39" s="30" t="s">
        <v>14</v>
      </c>
      <c r="C39" s="6">
        <f>ABS(MIN(0,C38))</f>
        <v>26883.3125</v>
      </c>
      <c r="D39" s="6">
        <f>ABS(MIN(0,D38))</f>
        <v>53051.7796875</v>
      </c>
      <c r="E39" s="6">
        <f>ABS(MIN(0,E38))</f>
        <v>80013.6632890625</v>
      </c>
      <c r="F39" s="6">
        <f>ABS(MIN(0,F38))</f>
        <v>106011.30872261719</v>
      </c>
      <c r="G39" s="6">
        <f>ABS(MIN(0,G38))</f>
        <v>132554.2246790041</v>
      </c>
      <c r="H39" s="6">
        <f>ABS(MIN(0,H38))</f>
        <v>158387.55980560908</v>
      </c>
      <c r="I39" s="6">
        <f>ABS(MIN(0,I38))</f>
        <v>187769.54950658104</v>
      </c>
      <c r="J39" s="6">
        <f>ABS(MIN(0,J38))</f>
        <v>214198.58136435616</v>
      </c>
      <c r="K39" s="6">
        <f>ABS(MIN(0,K38))</f>
        <v>244990.0730628424</v>
      </c>
      <c r="L39" s="6">
        <f>ABS(MIN(0,L38))</f>
        <v>270769.2123028362</v>
      </c>
      <c r="M39" s="6">
        <f>ABS(MIN(0,M38))</f>
        <v>277594.67702789465</v>
      </c>
      <c r="N39" s="6">
        <f>ABS(MIN(0,N38))</f>
        <v>277803.6694293278</v>
      </c>
      <c r="O39" s="6">
        <f>ABS(MIN(0,O38))</f>
        <v>274662.9224786103</v>
      </c>
      <c r="P39" s="6">
        <f>ABS(MIN(0,P38))</f>
        <v>261468.4592626464</v>
      </c>
      <c r="Q39" s="6">
        <f>ABS(MIN(0,Q38))</f>
        <v>238270.5483627623</v>
      </c>
      <c r="R39" s="6">
        <f>ABS(MIN(0,R38))</f>
        <v>185100.73874830068</v>
      </c>
      <c r="S39" s="6">
        <f>ABS(MIN(0,S38))</f>
        <v>117807.78318191139</v>
      </c>
      <c r="T39" s="6">
        <f>ABS(MIN(0,T38))</f>
        <v>17319.354527958785</v>
      </c>
      <c r="U39" s="6">
        <f>ABS(MIN(0,U38))</f>
        <v>0</v>
      </c>
      <c r="V39" s="6">
        <f>ABS(MIN(0,V38))</f>
        <v>0</v>
      </c>
      <c r="W39" s="6">
        <f>ABS(MIN(0,W38))</f>
        <v>0</v>
      </c>
      <c r="X39" s="6">
        <f>ABS(MIN(0,X38))</f>
        <v>0</v>
      </c>
      <c r="Y39" s="6">
        <f>ABS(MIN(0,Y38))</f>
        <v>0</v>
      </c>
      <c r="Z39" s="6">
        <f>ABS(MIN(0,Z38))</f>
        <v>0</v>
      </c>
      <c r="AA39" s="6">
        <f>ABS(MIN(0,AA38))</f>
        <v>0</v>
      </c>
      <c r="AB39" s="6">
        <f>ABS(MIN(0,AB38))</f>
        <v>0</v>
      </c>
      <c r="AC39" s="6">
        <f>ABS(MIN(0,AC38))</f>
        <v>0</v>
      </c>
      <c r="AD39" s="6">
        <f>ABS(MIN(0,AD38))</f>
        <v>0</v>
      </c>
      <c r="AE39" s="6">
        <f>ABS(MIN(0,AE38))</f>
        <v>0</v>
      </c>
      <c r="AF39" s="6">
        <f>ABS(MIN(0,AF38))</f>
        <v>0</v>
      </c>
      <c r="AG39" s="6">
        <f>ABS(MIN(0,AG38))</f>
        <v>0</v>
      </c>
      <c r="AH39" s="6">
        <f>ABS(MIN(0,AH38))</f>
        <v>0</v>
      </c>
      <c r="AI39" s="6">
        <f>ABS(MIN(0,AI38))</f>
        <v>0</v>
      </c>
      <c r="AJ39" s="6">
        <f>ABS(MIN(0,AJ38))</f>
        <v>0</v>
      </c>
      <c r="AK39" s="6">
        <f>ABS(MIN(0,AK38))</f>
        <v>0</v>
      </c>
      <c r="AL39" s="6">
        <f>ABS(MIN(0,AL38))</f>
        <v>0</v>
      </c>
      <c r="AM39" s="6">
        <f>AL39</f>
        <v>0</v>
      </c>
    </row>
  </sheetData>
  <autoFilter ref="A3:AM3"/>
  <mergeCells count="4">
    <mergeCell ref="A1:AM1"/>
    <mergeCell ref="C2:N2"/>
    <mergeCell ref="O2:Z2"/>
    <mergeCell ref="AA2:AL2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Assumptions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Spectra</dc:creator>
  <cp:lastModifiedBy>Spectra</cp:lastModifiedBy>
  <dcterms:created xsi:type="dcterms:W3CDTF">2026-05-14T16:16:20Z</dcterms:created>
  <dcterms:modified xsi:type="dcterms:W3CDTF">2026-05-14T16:16:20Z</dcterms:modified>
</cp:coreProperties>
</file>